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JY\dev\sources\fjy-cb-test\src\test\documents\opm\"/>
    </mc:Choice>
  </mc:AlternateContent>
  <bookViews>
    <workbookView xWindow="300" yWindow="1260" windowWidth="23700" windowHeight="8385" tabRatio="900" activeTab="2"/>
  </bookViews>
  <sheets>
    <sheet name="表紙" sheetId="7" r:id="rId1"/>
    <sheet name="項目一覧" sheetId="103" r:id="rId2"/>
    <sheet name="テストケース " sheetId="94" r:id="rId3"/>
    <sheet name="テスト仕様" sheetId="118" r:id="rId4"/>
    <sheet name="p1.parameter" sheetId="95" r:id="rId5"/>
    <sheet name="i1.m_store_sale_pur_order_prod" sheetId="140" r:id="rId6"/>
    <sheet name="v1.m_store_sale_pur_order_prod" sheetId="141" r:id="rId7"/>
    <sheet name="i2.m_sale" sheetId="144" r:id="rId8"/>
    <sheet name="i2.m_sale_pur_order_product" sheetId="145" r:id="rId9"/>
    <sheet name="i2.m_item" sheetId="146" r:id="rId10"/>
    <sheet name="i2.m_item_class_rlat" sheetId="147" r:id="rId11"/>
    <sheet name="i2.m_item_class_dev" sheetId="148" r:id="rId12"/>
    <sheet name="i2.m_store_form_item_sell_cond" sheetId="149" r:id="rId13"/>
    <sheet name="i2.m_product" sheetId="150" r:id="rId14"/>
    <sheet name="i2.m_product_generation" sheetId="151" r:id="rId15"/>
    <sheet name="i2.m_supplier" sheetId="152" r:id="rId16"/>
    <sheet name="i2.m_calendar_by_supplier" sheetId="153" r:id="rId17"/>
    <sheet name="i2.m_store" sheetId="154" r:id="rId18"/>
    <sheet name="i2.m_ship_to_generation" sheetId="155" r:id="rId19"/>
    <sheet name="i2.m_regi_data_store" sheetId="156" r:id="rId20"/>
    <sheet name="i2.m_org" sheetId="157" r:id="rId21"/>
    <sheet name="i2.m_store_sale_pur_order_prod" sheetId="158" r:id="rId22"/>
    <sheet name="v2.m_store_sale_pur_order_prod" sheetId="162" r:id="rId23"/>
  </sheets>
  <functionGroups builtInGroupCount="18"/>
  <definedNames>
    <definedName name="_5a11_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_5a11_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_5a11_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_a11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_a11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_a1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_xlnm._FilterDatabase" localSheetId="2" hidden="1">'テストケース '!$A$1:$Q$1</definedName>
    <definedName name="_xlnm._FilterDatabase" localSheetId="3" hidden="1">テスト仕様!$A$8:$S$8</definedName>
    <definedName name="」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」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」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a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a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a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ss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ss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aass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bbb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bbb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bbb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d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d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d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ｆ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ｆ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ｆ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dfsgfsdg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dfsgfsdg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dfsgfsdg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dsgdsgdsg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dsgdsgdsg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dsgdsgdsg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dsgsdg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dsgsdg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dsgsdg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sd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sd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fsd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ggggggggg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ggggggggg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gggggggggg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Item_Logical_Names" localSheetId="1">項目一覧!$A:$A</definedName>
    <definedName name="_xlnm.Print_Area" localSheetId="2">'テストケース '!$A$1:$P$144</definedName>
    <definedName name="_xlnm.Print_Area" localSheetId="0">表紙!$A$1:$BL$73</definedName>
    <definedName name="_xlnm.Print_Titles" localSheetId="3">テスト仕様!$A:$E,テスト仕様!$1:$7</definedName>
    <definedName name="_xlnm.Print_Titles" localSheetId="1">項目一覧!$1:$1</definedName>
    <definedName name="wrn.プログラム仕様書.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wrn.プログラム仕様書.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wrn.プログラム仕様書.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ああ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ああ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ああ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あああ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あああ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あああ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センター商品マスタ移行ワーク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センター商品マスタ移行ワーク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センター商品マスタ移行ワーク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商品エリア別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商品エリア別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商品エリア別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商品エリア別業態別改廃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商品エリア別業態別改廃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商品エリア別業態別改廃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日替単価中間移行ワーク" localSheetId="3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日替単価中間移行ワーク" localSheetId="1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  <definedName name="日替単価中間移行ワーク" hidden="1">{#N/A,#N/A,TRUE,"表紙";#N/A,#N/A,TRUE,"変更履歴";#N/A,#N/A,TRUE,"ﾌﾟﾛｸﾞﾗﾑ概要書";#N/A,#N/A,TRUE,"外部ﾓｼﾞｭｰﾙ一覧";#N/A,#N/A,TRUE,"機能概要図";#N/A,#N/A,TRUE,"仕様詳細";#N/A,#N/A,TRUE,"編集詳細";#N/A,#N/A,TRUE,"ｴﾗｰｺｰﾄﾞ一覧"}</definedName>
  </definedNames>
  <calcPr calcId="152511"/>
</workbook>
</file>

<file path=xl/calcChain.xml><?xml version="1.0" encoding="utf-8"?>
<calcChain xmlns="http://schemas.openxmlformats.org/spreadsheetml/2006/main">
  <c r="H13" i="118" l="1"/>
  <c r="H14" i="118"/>
  <c r="H15" i="118"/>
  <c r="H16" i="118"/>
  <c r="H17" i="118"/>
  <c r="H18" i="118"/>
  <c r="H19" i="118"/>
  <c r="H20" i="118"/>
  <c r="H21" i="118"/>
  <c r="H22" i="118"/>
  <c r="H23" i="118"/>
  <c r="H24" i="118"/>
  <c r="H25" i="118"/>
  <c r="H26" i="118"/>
  <c r="H27" i="118"/>
  <c r="H28" i="118"/>
  <c r="H29" i="118"/>
  <c r="H30" i="118"/>
  <c r="H31" i="118"/>
  <c r="H32" i="118"/>
  <c r="H33" i="118"/>
  <c r="H34" i="118"/>
  <c r="H35" i="118"/>
  <c r="H36" i="118"/>
  <c r="H37" i="118"/>
  <c r="H38" i="118"/>
  <c r="H39" i="118"/>
  <c r="H40" i="118"/>
  <c r="H41" i="118"/>
  <c r="H42" i="118"/>
  <c r="H43" i="118"/>
  <c r="H44" i="118"/>
  <c r="H45" i="118"/>
  <c r="H46" i="118"/>
  <c r="H47" i="118"/>
  <c r="H48" i="118"/>
  <c r="H49" i="118"/>
  <c r="H50" i="118"/>
  <c r="H51" i="118"/>
  <c r="H52" i="118"/>
  <c r="H53" i="118"/>
  <c r="H54" i="118"/>
  <c r="H55" i="118"/>
  <c r="H56" i="118"/>
  <c r="H57" i="118"/>
  <c r="H58" i="118"/>
  <c r="H59" i="118"/>
  <c r="H60" i="118"/>
  <c r="H61" i="118"/>
  <c r="H62" i="118"/>
  <c r="H63" i="118"/>
  <c r="H64" i="118"/>
  <c r="H65" i="118"/>
  <c r="H66" i="118"/>
  <c r="H67" i="118"/>
  <c r="H68" i="118"/>
  <c r="H69" i="118"/>
  <c r="H70" i="118"/>
  <c r="H71" i="118"/>
  <c r="H72" i="118"/>
  <c r="H73" i="118"/>
  <c r="H74" i="118"/>
  <c r="H75" i="118"/>
  <c r="H76" i="118"/>
  <c r="H77" i="118"/>
  <c r="H78" i="118"/>
  <c r="H79" i="118"/>
  <c r="H80" i="118"/>
  <c r="H81" i="118"/>
  <c r="H82" i="118"/>
  <c r="H83" i="118"/>
  <c r="H84" i="118"/>
  <c r="H85" i="118"/>
  <c r="H86" i="118"/>
  <c r="H87" i="118"/>
  <c r="H88" i="118"/>
  <c r="H89" i="118"/>
  <c r="H90" i="118"/>
  <c r="H91" i="118"/>
  <c r="H92" i="118"/>
  <c r="H93" i="118"/>
  <c r="H94" i="118"/>
  <c r="H95" i="118"/>
  <c r="H96" i="118"/>
  <c r="H97" i="118"/>
  <c r="H98" i="118"/>
  <c r="H99" i="118"/>
  <c r="H100" i="118"/>
  <c r="H101" i="118"/>
  <c r="H102" i="118"/>
  <c r="H103" i="118"/>
  <c r="H104" i="118"/>
  <c r="H105" i="118"/>
  <c r="H106" i="118"/>
  <c r="H107" i="118"/>
  <c r="H108" i="118"/>
  <c r="H109" i="118"/>
  <c r="H110" i="118"/>
  <c r="H111" i="118"/>
  <c r="H112" i="118"/>
  <c r="H113" i="118"/>
  <c r="H114" i="118"/>
  <c r="H115" i="118"/>
  <c r="H116" i="118"/>
  <c r="H117" i="118"/>
  <c r="H118" i="118"/>
  <c r="H119" i="118"/>
  <c r="H120" i="118"/>
  <c r="H121" i="118"/>
  <c r="H122" i="118"/>
  <c r="H123" i="118"/>
  <c r="H124" i="118"/>
  <c r="H125" i="118"/>
  <c r="H9" i="118"/>
  <c r="M96" i="94"/>
  <c r="M95" i="94"/>
  <c r="M94" i="94"/>
  <c r="M93" i="94"/>
  <c r="M100" i="94"/>
  <c r="M98" i="94"/>
  <c r="M97" i="94"/>
  <c r="M92" i="94"/>
  <c r="M91" i="94"/>
  <c r="M90" i="94"/>
  <c r="M89" i="94"/>
  <c r="M88" i="94"/>
  <c r="M87" i="94"/>
  <c r="M86" i="94"/>
  <c r="M85" i="94"/>
  <c r="M84" i="94"/>
  <c r="M83" i="94"/>
  <c r="M2" i="94"/>
  <c r="M3" i="94"/>
  <c r="M4" i="94"/>
  <c r="M5" i="94"/>
  <c r="M6" i="94"/>
  <c r="M7" i="94"/>
  <c r="M8" i="94"/>
  <c r="M9" i="94"/>
  <c r="M10" i="94"/>
  <c r="M11" i="94"/>
  <c r="M12" i="94"/>
  <c r="M13" i="94"/>
  <c r="M14" i="94"/>
  <c r="M15" i="94"/>
  <c r="M16" i="94"/>
  <c r="M17" i="94"/>
  <c r="M18" i="94"/>
  <c r="M19" i="94"/>
  <c r="M20" i="94"/>
  <c r="M21" i="94"/>
  <c r="M22" i="94"/>
  <c r="M23" i="94"/>
  <c r="M24" i="94"/>
  <c r="M25" i="94"/>
  <c r="M26" i="94"/>
  <c r="M27" i="94"/>
  <c r="M28" i="94"/>
  <c r="M29" i="94"/>
  <c r="M30" i="94"/>
  <c r="M31" i="94"/>
  <c r="M32" i="94"/>
  <c r="M33" i="94"/>
  <c r="M34" i="94"/>
  <c r="M35" i="94"/>
  <c r="M36" i="94"/>
  <c r="M37" i="94"/>
  <c r="M38" i="94"/>
  <c r="M39" i="94"/>
  <c r="M40" i="94"/>
  <c r="M41" i="94"/>
  <c r="M42" i="94"/>
  <c r="M43" i="94"/>
  <c r="M44" i="94"/>
  <c r="M45" i="94"/>
  <c r="M46" i="94"/>
  <c r="M47" i="94"/>
  <c r="M48" i="94"/>
  <c r="M49" i="94"/>
  <c r="M50" i="94"/>
  <c r="M51" i="94"/>
  <c r="M52" i="94"/>
  <c r="M53" i="94"/>
  <c r="M54" i="94"/>
  <c r="M55" i="94"/>
  <c r="M56" i="94"/>
  <c r="M57" i="94"/>
  <c r="M58" i="94"/>
  <c r="M59" i="94"/>
  <c r="M60" i="94"/>
  <c r="M61" i="94"/>
  <c r="M62" i="94"/>
  <c r="M63" i="94"/>
  <c r="M64" i="94"/>
  <c r="M65" i="94"/>
  <c r="M66" i="94"/>
  <c r="M67" i="94"/>
  <c r="M68" i="94"/>
  <c r="M69" i="94"/>
  <c r="M70" i="94"/>
  <c r="M71" i="94"/>
  <c r="M72" i="94"/>
  <c r="M73" i="94"/>
  <c r="M74" i="94"/>
  <c r="M75" i="94"/>
  <c r="M76" i="94"/>
  <c r="M77" i="94"/>
  <c r="M78" i="94"/>
  <c r="M79" i="94"/>
  <c r="M80" i="94"/>
  <c r="M81" i="94"/>
  <c r="M82" i="94"/>
  <c r="M99" i="94"/>
  <c r="M101" i="94"/>
  <c r="M102" i="94"/>
  <c r="M103" i="94"/>
  <c r="M104" i="94"/>
  <c r="M105" i="94"/>
  <c r="M106" i="94"/>
  <c r="M107" i="94"/>
  <c r="M108" i="94"/>
  <c r="M109" i="94"/>
  <c r="M110" i="94"/>
  <c r="M111" i="94"/>
  <c r="M112" i="94"/>
  <c r="M113" i="94"/>
  <c r="M114" i="94"/>
  <c r="M115" i="94"/>
  <c r="M116" i="94"/>
  <c r="M117" i="94"/>
  <c r="M118" i="94"/>
  <c r="M119" i="94"/>
  <c r="M120" i="94"/>
  <c r="M121" i="94"/>
  <c r="M122" i="94"/>
  <c r="M123" i="94"/>
  <c r="M124" i="94"/>
  <c r="M125" i="94"/>
  <c r="M126" i="94"/>
  <c r="M127" i="94"/>
  <c r="M128" i="94"/>
  <c r="M129" i="94"/>
  <c r="M130" i="94"/>
  <c r="M131" i="94"/>
  <c r="M132" i="94"/>
  <c r="I128" i="118"/>
  <c r="I11" i="118"/>
  <c r="I127" i="118"/>
  <c r="I10" i="118"/>
  <c r="I126" i="118"/>
  <c r="I12" i="118"/>
  <c r="H12" i="118" l="1"/>
  <c r="H126" i="118"/>
  <c r="H10" i="118"/>
  <c r="H127" i="118"/>
  <c r="H11" i="118"/>
  <c r="H128" i="118"/>
  <c r="J16" i="7" l="1"/>
  <c r="I3" i="118" l="1"/>
  <c r="I2" i="118"/>
  <c r="K3" i="118"/>
  <c r="K2" i="118"/>
  <c r="A1" i="118" l="1"/>
  <c r="BM4" i="7" l="1"/>
  <c r="BM3" i="7" l="1"/>
  <c r="AF22" i="7"/>
  <c r="F3" i="118" l="1"/>
</calcChain>
</file>

<file path=xl/comments1.xml><?xml version="1.0" encoding="utf-8"?>
<comments xmlns="http://schemas.openxmlformats.org/spreadsheetml/2006/main">
  <authors>
    <author>sugimoto</author>
    <author>mbp</author>
  </authors>
  <commentList>
    <comment ref="L7" authorId="0" shapeId="0">
      <text>
        <r>
          <rPr>
            <sz val="9"/>
            <color indexed="81"/>
            <rFont val="ＭＳ Ｐゴシック"/>
            <family val="3"/>
            <charset val="128"/>
          </rPr>
          <t>空白以外の場合、
テストスクリプトに出力しない</t>
        </r>
      </text>
    </comment>
    <comment ref="N10" authorId="1" shapeId="0">
      <text>
        <r>
          <rPr>
            <sz val="9"/>
            <color indexed="81"/>
            <rFont val="ＭＳ Ｐゴシック"/>
            <family val="3"/>
            <charset val="128"/>
          </rPr>
          <t>説明：データベースに初期データをDrop&amp;Insertする
入力値：
　対象項目：
　　コマンドフォルダに付与されるコメント（任意）
　パラメータ：
　　１：初期データExcelシートプレフィックス
　　　　データの投入を行うテーブルの値を定義したExcelシートのプレフィックスを指定
　　　　例）　シート名が"i1.M_TABLE1","i1.T_TABLE2"の場合
　　　　　　　プレフィックスとして"i1"を指定することで、M_TABLE1とT_TABLE2にデータがDrop&amp;Insertされる
　　２以降（可変）：LinkFiles用パスリスト
　　　　　　　マスタデータなど、何度も利用する初期データExcelへの相対パスをここに記述することでまとめてデータベースに
　　　　　　　Drop&amp;Insertすることができる
　　　　　　　相対パスは生成されるコマンドフォルダが基点となる</t>
        </r>
      </text>
    </comment>
    <comment ref="N11" authorId="1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説明：RtFAに対してBL実行を依頼する
入力値：
　対象項目：
　　コマンドフォルダに付与されるコメント（任意）
　パラメータ：
　　１：パラメータデータシートプレフィックス
　　２：テストパターン名
　　３：サブシステムID（小文字）
　　４：オンライン/オフライン（画面BLの場合Online、バッチの場合Offline）
　　５：機能ID（大文字　ex) A0102AW101
　　６：イベント名（Search/Register/Delete/Execute/Print/Asyncのいづれか）
</t>
        </r>
      </text>
    </comment>
    <comment ref="N12" authorId="1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説明：データベースのスナップショット取得（エビデンス）と内容検証を行う
入力値：
　対象項目：
　　コマンドフォルダに付与されるコメント（任意）
　パラメータ：
　　１：LinkFiles用パスリスト
　　　　記載方法１：検証用Excelシートプレフィックス
　　　　　　データ検証を行うテーブルの値を定義したExcelシートのプレフィックスを指定
　　　　　　例）　シート名が"v1.M_TABLE1","v1.T_TABLE2"の場合
　　　　　　　　　プレフィックスとして"v1"を指定することで、M_TABLE1とT_TABLE2を検証することになる
   　　 記載方法２：検証データExcelへの相対パス
　　　　　　　何度も利用する検証用データExcelへの相対パスをここに記述することでExcelをテスト仕様書ブックの外部で管理できる
　　　　　　　相対パスは生成されるコマンドフォルダが基点となる
　　　　上記記載方法１，２を混在させて複数指定することができる
　　　　例）
　　　　　　v1[改行]
            ../../../../../src/test/documents/dataBooks/v1.xls[改行]
            v2[改行]
　　２：データ検証を行うテーブルの検索条件（where句）
　　　　テーブルの値を取得する際、データを絞り込みたい場合に指定
　　　　where句の後を記述する
　　　　例）
　　　　　UPD_USER_CD = 'yamada'[改行]
　　　　　select * from [テーブル名] whwre UPD_USER_CD = 'yamada'を実行した結果が実行値となる
　　　　このパラメータを指定しない場合は、テーブルの全データが実行値となる
</t>
        </r>
      </text>
    </comment>
    <comment ref="N126" authorId="1" shapeId="0">
      <text>
        <r>
          <rPr>
            <sz val="9"/>
            <color indexed="81"/>
            <rFont val="ＭＳ Ｐゴシック"/>
            <family val="3"/>
            <charset val="128"/>
          </rPr>
          <t>説明：データベースに初期データをDrop&amp;Insertする
入力値：
　対象項目：
　　コマンドフォルダに付与されるコメント（任意）
　パラメータ：
　　１：初期データExcelシートプレフィックス
　　　　データの投入を行うテーブルの値を定義したExcelシートのプレフィックスを指定
　　　　例）　シート名が"i1.M_TABLE1","i1.T_TABLE2"の場合
　　　　　　　プレフィックスとして"i1"を指定することで、M_TABLE1とT_TABLE2にデータがDrop&amp;Insertされる
　　２以降（可変）：LinkFiles用パスリスト
　　　　　　　マスタデータなど、何度も利用する初期データExcelへの相対パスをここに記述することでまとめてデータベースに
　　　　　　　Drop&amp;Insertすることができる
　　　　　　　相対パスは生成されるコマンドフォルダが基点となる</t>
        </r>
      </text>
    </comment>
    <comment ref="N127" authorId="1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説明：RtFAに対してBL実行を依頼する
入力値：
　対象項目：
　　コマンドフォルダに付与されるコメント（任意）
　パラメータ：
　　１：パラメータデータシートプレフィックス
　　２：テストパターン名
　　３：サブシステムID（小文字）
　　４：オンライン/オフライン（画面BLの場合Online、バッチの場合Offline）
　　５：機能ID（大文字　ex) A0102AW101
　　６：イベント名（Search/Register/Delete/Execute/Print/Asyncのいづれか）
</t>
        </r>
      </text>
    </comment>
    <comment ref="N128" authorId="1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説明：データベースのスナップショット取得（エビデンス）と内容検証を行う
入力値：
　対象項目：
　　コマンドフォルダに付与されるコメント（任意）
　パラメータ：
　　１：LinkFiles用パスリスト
　　　　記載方法１：検証用Excelシートプレフィックス
　　　　　　データ検証を行うテーブルの値を定義したExcelシートのプレフィックスを指定
　　　　　　例）　シート名が"v1.M_TABLE1","v1.T_TABLE2"の場合
　　　　　　　　　プレフィックスとして"v1"を指定することで、M_TABLE1とT_TABLE2を検証することになる
   　　 記載方法２：検証データExcelへの相対パス
　　　　　　　何度も利用する検証用データExcelへの相対パスをここに記述することでExcelをテスト仕様書ブックの外部で管理できる
　　　　　　　相対パスは生成されるコマンドフォルダが基点となる
　　　　上記記載方法１，２を混在させて複数指定することができる
　　　　例）
　　　　　　v1[改行]
            ../../../../../src/test/documents/dataBooks/v1.xls[改行]
            v2[改行]
　　２：データ検証を行うテーブルの検索条件（where句）
　　　　テーブルの値を取得する際、データを絞り込みたい場合に指定
　　　　where句の後を記述する
　　　　例）
　　　　　UPD_USER_CD = 'yamada'[改行]
　　　　　select * from [テーブル名] whwre UPD_USER_CD = 'yamada'を実行した結果が実行値となる
　　　　このパラメータを指定しない場合は、テーブルの全データが実行値となる
</t>
        </r>
      </text>
    </comment>
  </commentList>
</comments>
</file>

<file path=xl/comments2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実際のテーブル名。_x000D_
シート名で表現できない文字数（30文字以上）の場合に追加されます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論理名：[000002107826][20180618101329]&lt;店舗ID&gt;
型：Integer_x000D_
バイト数：4_x000D_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論理名：[000002107827][20180618101329]&lt;セールID&gt;
型：Integer_x000D_
バイト数：4_x000D_
主キー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論理名：[000002107828][20180618101329]&lt;製品ID&gt;
型：Integer_x000D_
バイト数：4_x000D_
主キー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論理名：[000002107829][20180618101329]&lt;廻送日付開始&gt;
型：NVarChar2_x000D_
バイト数：8190_x000D_
主キー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論理名：[000002107830][20180618101329]&lt;店舗コード&gt;店舗マスタ
型：NVarChar2_x000D_
バイト数：10_x000D_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論理名：[000002107831][20180618101329]&lt;部門コード&gt;店舗マスタ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論理名：[000002107832][20180618101329]&lt;店舗名&gt;店舗マスタ
型：NVarChar2_x000D_
バイト数：20_x000D_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論理名：[000002107833][20180618101329]&lt;出荷先区分&gt;店舗マスタ
型：NVarChar2_x000D_
バイト数：2_x000D_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論理名：[000002107834][20180618101329]&lt;地区区分&gt;店舗マスタ
型：NVarChar2_x000D_
バイト数：2_x000D_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論理名：[000002107835][20180618101329]&lt;サブ地区区分&gt;店舗マスタ
型：NVarChar2_x000D_
バイト数：2_x000D_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論理名：[000002107836][20180618101329]&lt;地区サブ名&gt;レジデータ店舗マスタ
型：NVarChar2_x000D_
バイト数：6_x000D_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論理名：[000002107837][20180618101329]&lt;地区部名&gt;レジデータ店舗マスタ
型：NVarChar2_x000D_
バイト数：6_x000D_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論理名：[000002107838][20180618101329]&lt;SVコード&gt;レジデータ店舗マスタ
型：NVarChar2_x000D_
バイト数：6_x000D_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論理名：[000002107839][20180618101329]&lt;SV名&gt;レジデータ店舗マスタ
型：NVarChar2_x000D_
バイト数：15_x000D_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論理名：[000002107937][20180618101329]&lt;組織ID&gt;
型：Integer_x000D_
バイト数：4_x000D_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論理名：[000002107840][20180618101329]&lt;セール区分&gt;
型：NVarChar2_x000D_
バイト数：2_x000D_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論理名：[000002107841][20180618101329]&lt;表示開始日&gt;
型：NVarChar2_x000D_
バイト数：8190_x000D_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論理名：[000002107842][20180618101329]&lt;表示終了日&gt;
型：NVarChar2_x000D_
バイト数：8190_x000D_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論理名：[000002107843][20180618101329]&lt;セール名&gt;
型：NVarChar2_x000D_
バイト数：20_x000D_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論理名：[000002107844][20180618101329]&lt;廻送日付終了&gt;
型：NVarChar2_x000D_
バイト数：8190_x000D_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論理名：[000002107845][20180618101329]&lt;伝票日付&gt;
型：NVarChar2_x000D_
バイト数：8190_x000D_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論理名：[000002107846][20180618101329]&lt;製品コード&gt;
型：NVarChar2_x000D_
バイト数：6_x000D_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論理名：[000002107847][20180618101329]&lt;製品名&gt;
型：NVarChar2_x000D_
バイト数：15_x000D_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論理名：[000002107848][20180618101329]&lt;品番&gt;
型：NVarChar2_x000D_
バイト数：6_x000D_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論理名：[000002107849][20180618101329]&lt;業務コード&gt;
型：NVarChar2_x000D_
バイト数：2_x000D_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論理名：[000002107850][20180618101329]&lt;入数&gt;
型：Numeric_x000D_
バイト数：19_x000D_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論理名：[000002107851][20180618101329]&lt;バラ単価&gt;
型：Numeric_x000D_
バイト数：19_x000D_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論理名：[000002107852][20180618101329]&lt;発注仕入原単価&gt;
型：Numeric_x000D_
バイト数：19_x000D_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論理名：[000002107853][20180618101329]&lt;商品ID&gt;
型：Integer_x000D_
バイト数：4_x000D_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論理名：[000002107854][20180618101329]&lt;商品コード&gt;
型：NVarChar2_x000D_
バイト数：14_x000D_
</t>
        </r>
      </text>
    </comment>
    <comment ref="A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論理名：[000002107855][20180618101329]&lt;商品名&gt;
型：NVarChar2_x000D_
バイト数：25_x000D_
</t>
        </r>
      </text>
    </comment>
    <comment ref="A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論理名：[000002107856][20180618101329]&lt;基本説明&gt;
型：NVarChar2_x000D_
バイト数：8190_x000D_
</t>
        </r>
      </text>
    </comment>
    <comment ref="A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論理名：[000002107857][20180618101329]&lt;レジ大分類ID&gt;
型：Integer_x000D_
バイト数：4_x000D_
</t>
        </r>
      </text>
    </comment>
    <comment ref="A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論理名：[000002107858][20180618101329]&lt;レジ大分類コード&gt;
型：NVarChar2_x000D_
バイト数：10_x000D_
</t>
        </r>
      </text>
    </comment>
    <comment ref="A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論理名：[000002107859][20180618101329]&lt;レジ大分類名&gt;
型：NVarChar2_x000D_
バイト数：20_x000D_
</t>
        </r>
      </text>
    </comment>
    <comment ref="A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論理名：[000002107860][20180618101329]&lt;レジ中分類ID&gt;
型：Integer_x000D_
バイト数：4_x000D_
</t>
        </r>
      </text>
    </comment>
    <comment ref="A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論理名：[000002107861][20180618101329]&lt;レジ中分類コード&gt;
型：NVarChar2_x000D_
バイト数：10_x000D_
</t>
        </r>
      </text>
    </comment>
    <comment ref="A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論理名：[000002107862][20180618101329]&lt;レジ中分類名&gt;
型：NVarChar2_x000D_
バイト数：20_x000D_
</t>
        </r>
      </text>
    </comment>
    <comment ref="A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論理名：[000002107863][20180618101329]&lt;レジ小分類ID&gt;
型：Integer_x000D_
バイト数：4_x000D_
</t>
        </r>
      </text>
    </comment>
    <comment ref="A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論理名：[000002107864][20180618101329]&lt;レジ小分類コード&gt;
型：NVarChar2_x000D_
バイト数：10_x000D_
</t>
        </r>
      </text>
    </comment>
    <comment ref="A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論理名：[000002107865][20180618101329]&lt;レジ小分類名&gt;
型：NVarChar2_x000D_
バイト数：20_x000D_
</t>
        </r>
      </text>
    </comment>
    <comment ref="A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論理名：[000002107866][20180618101329]&lt;単品分類ID&gt;
型：Integer_x000D_
バイト数：4_x000D_
</t>
        </r>
      </text>
    </comment>
    <comment ref="A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論理名：[000002107867][20180618101329]&lt;単品分類コード&gt;
型：NVarChar2_x000D_
バイト数：10_x000D_
</t>
        </r>
      </text>
    </comment>
    <comment ref="A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論理名：[000002107868][20180618101329]&lt;単品分類名&gt;
型：NVarChar2_x000D_
バイト数：20_x000D_
</t>
        </r>
      </text>
    </comment>
    <comment ref="A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論理名：[000002107869][20180618101329]&lt;売単価&gt;店別売価は反映されていない
型：Numeric_x000D_
バイト数：19_x000D_
</t>
        </r>
      </text>
    </comment>
    <comment ref="A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論理名：[000002107870][20180618101329]&lt;仕入先コード&gt;
型：NVarChar2_x000D_
バイト数：7_x000D_
</t>
        </r>
      </text>
    </comment>
    <comment ref="A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論理名：[000002107871][20180618101329]&lt;供給LT&gt;
型：Numeric_x000D_
バイト数：19_x000D_
</t>
        </r>
      </text>
    </comment>
    <comment ref="A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論理名：[000002107872][20180618101329]&lt;発注締めID&gt;
型：Integer_x000D_
バイト数：4_x000D_
</t>
        </r>
      </text>
    </comment>
    <comment ref="A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論理名：[000002107873][20180618101329]&lt;配送可フラグ&gt;
型：NVarChar2_x000D_
バイト数：2_x000D_
</t>
        </r>
      </text>
    </comment>
    <comment ref="B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B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B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B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B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B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B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B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B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B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B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B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B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B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3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実際のテーブル名。_x000D_
シート名で表現できない文字数（30文字以上）の場合に追加されます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論理名：[000002107826][20180618101329]&lt;店舗ID&gt;
型：Integer_x000D_
バイト数：4_x000D_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論理名：[000002107827][20180618101329]&lt;セールID&gt;
型：Integer_x000D_
バイト数：4_x000D_
主キー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論理名：[000002107828][20180618101329]&lt;製品ID&gt;
型：Integer_x000D_
バイト数：4_x000D_
主キー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論理名：[000002107829][20180618101329]&lt;廻送日付開始&gt;
型：NVarChar2_x000D_
バイト数：8190_x000D_
主キー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論理名：[000002107830][20180618101329]&lt;店舗コード&gt;店舗マスタ
型：NVarChar2_x000D_
バイト数：10_x000D_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論理名：[000002107831][20180618101329]&lt;部門コード&gt;店舗マスタ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論理名：[000002107832][20180618101329]&lt;店舗名&gt;店舗マスタ
型：NVarChar2_x000D_
バイト数：20_x000D_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論理名：[000002107833][20180618101329]&lt;出荷先区分&gt;店舗マスタ
型：NVarChar2_x000D_
バイト数：2_x000D_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論理名：[000002107834][20180618101329]&lt;地区区分&gt;店舗マスタ
型：NVarChar2_x000D_
バイト数：2_x000D_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論理名：[000002107835][20180618101329]&lt;サブ地区区分&gt;店舗マスタ
型：NVarChar2_x000D_
バイト数：2_x000D_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論理名：[000002107836][20180618101329]&lt;地区サブ名&gt;レジデータ店舗マスタ
型：NVarChar2_x000D_
バイト数：6_x000D_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論理名：[000002107837][20180618101329]&lt;地区部名&gt;レジデータ店舗マスタ
型：NVarChar2_x000D_
バイト数：6_x000D_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論理名：[000002107838][20180618101329]&lt;SVコード&gt;レジデータ店舗マスタ
型：NVarChar2_x000D_
バイト数：6_x000D_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論理名：[000002107839][20180618101329]&lt;SV名&gt;レジデータ店舗マスタ
型：NVarChar2_x000D_
バイト数：15_x000D_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論理名：[000002107937][20180618101329]&lt;組織ID&gt;
型：Integer_x000D_
バイト数：4_x000D_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論理名：[000002107840][20180618101329]&lt;セール区分&gt;
型：NVarChar2_x000D_
バイト数：2_x000D_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論理名：[000002107841][20180618101329]&lt;表示開始日&gt;
型：NVarChar2_x000D_
バイト数：8190_x000D_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論理名：[000002107842][20180618101329]&lt;表示終了日&gt;
型：NVarChar2_x000D_
バイト数：8190_x000D_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論理名：[000002107843][20180618101329]&lt;セール名&gt;
型：NVarChar2_x000D_
バイト数：20_x000D_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論理名：[000002107844][20180618101329]&lt;廻送日付終了&gt;
型：NVarChar2_x000D_
バイト数：8190_x000D_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論理名：[000002107845][20180618101329]&lt;伝票日付&gt;
型：NVarChar2_x000D_
バイト数：8190_x000D_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論理名：[000002107846][20180618101329]&lt;製品コード&gt;
型：NVarChar2_x000D_
バイト数：6_x000D_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論理名：[000002107847][20180618101329]&lt;製品名&gt;
型：NVarChar2_x000D_
バイト数：15_x000D_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論理名：[000002107848][20180618101329]&lt;品番&gt;
型：NVarChar2_x000D_
バイト数：6_x000D_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論理名：[000002107849][20180618101329]&lt;業務コード&gt;
型：NVarChar2_x000D_
バイト数：2_x000D_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論理名：[000002107850][20180618101329]&lt;入数&gt;
型：Numeric_x000D_
バイト数：19_x000D_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論理名：[000002107851][20180618101329]&lt;バラ単価&gt;
型：Numeric_x000D_
バイト数：19_x000D_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論理名：[000002107852][20180618101329]&lt;発注仕入原単価&gt;
型：Numeric_x000D_
バイト数：19_x000D_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論理名：[000002107853][20180618101329]&lt;商品ID&gt;
型：Integer_x000D_
バイト数：4_x000D_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論理名：[000002107854][20180618101329]&lt;商品コード&gt;
型：NVarChar2_x000D_
バイト数：14_x000D_
</t>
        </r>
      </text>
    </comment>
    <comment ref="A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論理名：[000002107855][20180618101329]&lt;商品名&gt;
型：NVarChar2_x000D_
バイト数：25_x000D_
</t>
        </r>
      </text>
    </comment>
    <comment ref="A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論理名：[000002107856][20180618101329]&lt;基本説明&gt;
型：NVarChar2_x000D_
バイト数：8190_x000D_
</t>
        </r>
      </text>
    </comment>
    <comment ref="A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論理名：[000002107857][20180618101329]&lt;レジ大分類ID&gt;
型：Integer_x000D_
バイト数：4_x000D_
</t>
        </r>
      </text>
    </comment>
    <comment ref="A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論理名：[000002107858][20180618101329]&lt;レジ大分類コード&gt;
型：NVarChar2_x000D_
バイト数：10_x000D_
</t>
        </r>
      </text>
    </comment>
    <comment ref="A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論理名：[000002107859][20180618101329]&lt;レジ大分類名&gt;
型：NVarChar2_x000D_
バイト数：20_x000D_
</t>
        </r>
      </text>
    </comment>
    <comment ref="A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論理名：[000002107860][20180618101329]&lt;レジ中分類ID&gt;
型：Integer_x000D_
バイト数：4_x000D_
</t>
        </r>
      </text>
    </comment>
    <comment ref="A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論理名：[000002107861][20180618101329]&lt;レジ中分類コード&gt;
型：NVarChar2_x000D_
バイト数：10_x000D_
</t>
        </r>
      </text>
    </comment>
    <comment ref="A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論理名：[000002107862][20180618101329]&lt;レジ中分類名&gt;
型：NVarChar2_x000D_
バイト数：20_x000D_
</t>
        </r>
      </text>
    </comment>
    <comment ref="A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論理名：[000002107863][20180618101329]&lt;レジ小分類ID&gt;
型：Integer_x000D_
バイト数：4_x000D_
</t>
        </r>
      </text>
    </comment>
    <comment ref="A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論理名：[000002107864][20180618101329]&lt;レジ小分類コード&gt;
型：NVarChar2_x000D_
バイト数：10_x000D_
</t>
        </r>
      </text>
    </comment>
    <comment ref="A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論理名：[000002107865][20180618101329]&lt;レジ小分類名&gt;
型：NVarChar2_x000D_
バイト数：20_x000D_
</t>
        </r>
      </text>
    </comment>
    <comment ref="A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論理名：[000002107866][20180618101329]&lt;単品分類ID&gt;
型：Integer_x000D_
バイト数：4_x000D_
</t>
        </r>
      </text>
    </comment>
    <comment ref="A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論理名：[000002107867][20180618101329]&lt;単品分類コード&gt;
型：NVarChar2_x000D_
バイト数：10_x000D_
</t>
        </r>
      </text>
    </comment>
    <comment ref="A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論理名：[000002107868][20180618101329]&lt;単品分類名&gt;
型：NVarChar2_x000D_
バイト数：20_x000D_
</t>
        </r>
      </text>
    </comment>
    <comment ref="A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論理名：[000002107869][20180618101329]&lt;売単価&gt;店別売価は反映されていない
型：Numeric_x000D_
バイト数：19_x000D_
</t>
        </r>
      </text>
    </comment>
    <comment ref="A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論理名：[000002107870][20180618101329]&lt;仕入先コード&gt;
型：NVarChar2_x000D_
バイト数：7_x000D_
</t>
        </r>
      </text>
    </comment>
    <comment ref="A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論理名：[000002107871][20180618101329]&lt;供給LT&gt;
型：Numeric_x000D_
バイト数：19_x000D_
</t>
        </r>
      </text>
    </comment>
    <comment ref="A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論理名：[000002107872][20180618101329]&lt;発注締めID&gt;
型：Integer_x000D_
バイト数：4_x000D_
</t>
        </r>
      </text>
    </comment>
    <comment ref="A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論理名：[000002107873][20180618101329]&lt;配送可フラグ&gt;
型：NVarChar2_x000D_
バイト数：2_x000D_
</t>
        </r>
      </text>
    </comment>
    <comment ref="B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B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B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B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B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B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B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B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B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B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B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B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B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B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4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論理名：[000002107820][20180531102215]&lt;セールID&gt;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論理名：[000002107821][20180531102215]&lt;■セール区分&gt;
型：NVarChar2_x000D_
バイト数：2_x000D_
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論理名：[000002107822][20180531102215]&lt;■表示開始日&gt;
型：NVarChar2_x000D_
バイト数：8190_x000D_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論理名：[000002107823][20180531102215]&lt;■表示終了日&gt;
型：NVarChar2_x000D_
バイト数：8190_x000D_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論理名：[000002107824][20180531102215]&lt;セール名&gt;
型：NVarChar2_x000D_
バイト数：20_x000D_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論理名：[000002107825][20180531102215]&lt;最終参照可能日&gt;
型：NVarChar2_x000D_
バイト数：8190_x000D_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5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論理名：[000002107814][20180531104039]&lt;セールID&gt;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論理名：[000002107815][20180531104039]&lt;製品ID&gt;
型：Integer_x000D_
バイト数：4_x000D_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論理名：[000002107816][20180531104039]&lt;廻送日付開始&gt;
型：NVarChar2_x000D_
バイト数：8190_x000D_
主キー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論理名：[000002107817][20180531104039]&lt;廻送日付終了&gt;
型：NVarChar2_x000D_
バイト数：8190_x000D_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論理名：[000002107818][20180531104039]&lt;伝票日付&gt;
型：NVarChar2_x000D_
バイト数：8190_x000D_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論理名：[000002107819][20180531104039]&lt;商品コード&gt;
型：NVarChar2_x000D_
バイト数：14_x000D_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6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論理名：[000002104560][20180705185014]&lt;商品ID&gt;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論理名：[000002104561][20180705185014]&lt;適用終了日&gt;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論理名：[000002104562][20180705185014]&lt;適用開始日&gt;
型：NVarChar2_x000D_
バイト数：8190_x000D_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論理名：[000002104563][20180705185014]&lt;■商品コード&gt;
型：NVarChar2_x000D_
バイト数：14_x000D_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論理名：[000002105642][20180705185014]&lt;POS売上基幹連携商品コード&gt;1件でもPOS配信対象となる販売条件が設定されていれば必須
型：NVarChar2_x000D_
バイト数：5_x000D_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論理名：[000002104576][20180705185014]&lt;商品名&gt;
型：NVarChar2_x000D_
バイト数：25_x000D_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論理名：[000002104580][20180705185014]&lt;商品レシート名&gt;
型：NVarChar2_x000D_
バイト数：33_x000D_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論理名：[000002104582][20180705185014]&lt;基本説明&gt;
型：NVarChar2_x000D_
バイト数：8190_x000D_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論理名：[000002108025][20180705185014]&lt;発注用基本説明&gt;
型：NVarChar2_x000D_
バイト数：8190_x000D_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論理名：[000002104591][20180705185014]&lt;消費税区分&gt;
型：NVarChar2_x000D_
バイト数：2_x000D_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論理名：[000002104592][20180705185014]&lt;消費税率区分&gt;
型：NVarChar2_x000D_
バイト数：2_x000D_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論理名：[000002104663][20180705185014]&lt;商品取扱状態区分&gt;
型：NVarChar2_x000D_
バイト数：2_x000D_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論理名：[000002106890][20180705185014]&lt;POS売価入力対象フラグ&gt;
型：NVarChar2_x000D_
バイト数：2_x000D_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論理名：[000002106891][20180705185014]&lt;マイナス売上対象フラグ&gt;
型：NVarChar2_x000D_
バイト数：2_x000D_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論理名：[000002105566][20180705185014]&lt;部門打ち対象フラグ&gt;
型：NVarChar2_x000D_
バイト数：2_x000D_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論理名：[000002105567][20180705185014]&lt;純売上対象フラグ&gt;
型：NVarChar2_x000D_
バイト数：2_x000D_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論理名：[000002108020][20180705185014]&lt;在庫管理対象商品フラグ&gt;
型：NVarChar2_x000D_
バイト数：2_x000D_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論理名：[000002108021][20180705185014]&lt;棚卸対象商品フラグ&gt;
型：NVarChar2_x000D_
バイト数：2_x000D_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論理名：[000002104664][20180705185014]&lt;最終更新ユーザーID&gt;
型：Integer_x000D_
バイト数：4_x000D_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論理名：[000002104665][20180705185014]&lt;最終更新ユーザーアカウントコード&gt;
型：NVarChar2_x000D_
バイト数：20_x000D_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論理名：[000002104666][20180705185014]&lt;最終更新ユーザー名&gt;
型：NVarChar2_x000D_
バイト数：25_x000D_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論理名：[000002104667][20180705185014]&lt;最終更新ユーザー名カナ&gt;
型：NVarChar2_x000D_
バイト数：60_x000D_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論理名：[000002104668][20180705185014]&lt;最終更新日時&gt;
型：NVarChar2_x000D_
バイト数：8190_x000D_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A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A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A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A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A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A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7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論理名：[000002104669][20180413120013]&lt;■商品ID&gt;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論理名：[000002104670][20180413120013]&lt;商品分類体系区分&gt;
型：NVarChar2_x000D_
バイト数：2_x000D_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論理名：[000002104671][20180413120013]&lt;商品適用終了日&gt;
型：NVarChar2_x000D_
バイト数：8190_x000D_
主キー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論理名：[000002104672][20180413120013]&lt;■商品分類ID&gt;
型：Integer_x000D_
バイト数：4_x000D_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8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論理名：[000002106935][20180519172139]&lt;処理日&gt;
型：NVarChar2_x000D_
バイト数：8190_x000D_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論理名：[000000188808][20180519172139]&lt;商品分類体系区分&gt;
型：NVarChar2_x000D_
バイト数：2_x000D_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論理名：[000000188814][20180519172139]&lt;商品分類ID&gt;
型：Integer_x000D_
バイト数：4_x000D_
主キー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論理名：[000000188815][20180519172139]&lt;最下層商品分類ID&gt;
型：Integer_x000D_
バイト数：4_x000D_
主キー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論理名：[000000195601][20180519172139]&lt;適用終了日&gt;
型：NVarChar2_x000D_
バイト数：8190_x000D_
主キー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論理名：[000000195602][20180519172139]&lt;適用開始日&gt;
型：NVarChar2_x000D_
バイト数：8190_x000D_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論理名：[000000188818][20180519172139]&lt;商品分類コード&gt;
型：NVarChar2_x000D_
バイト数：10_x000D_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論理名：[000000188819][20180519172139]&lt;表示用商品分類コード&gt;
型：NVarChar2_x000D_
バイト数：10_x000D_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論理名：[000000188820][20180519172139]&lt;商品分類名&gt;
型：NVarChar2_x000D_
バイト数：20_x000D_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論理名：[000000194501][20180519172139]&lt;上層連結商品分類名&gt;
型：NVarChar2_x000D_
バイト数：200_x000D_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論理名：[000000194502][20180519172139]&lt;下層連結商品分類名&gt;
型：NVarChar2_x000D_
バイト数：200_x000D_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論理名：[000002106936][20180519172139]&lt;表示用商品分類名&gt;
型：NVarChar2_x000D_
バイト数：200_x000D_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論理名：[000000195701][20180519172139]&lt;商品分類有効開始日&gt;
型：NVarChar2_x000D_
バイト数：8190_x000D_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論理名：[000000195702][20180519172139]&lt;商品分類有効終了日&gt;
型：NVarChar2_x000D_
バイト数：8190_x000D_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論理名：[000000194503][20180519172139]&lt;新規設定停止フラグ&gt;
型：NVarChar2_x000D_
バイト数：2_x000D_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論理名：[000000188822][20180519172139]&lt;階層レベル&gt;
型：Numeric_x000D_
バイト数：19_x000D_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論理名：[000000188823][20180519172139]&lt;商品分類階層名&gt;
型：NVarChar2_x000D_
バイト数：20_x000D_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論理名：[000000188813][20180519172139]&lt;最下層フラグ&gt;
型：NVarChar2_x000D_
バイト数：2_x000D_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論理名：[000000195902][20180519172139]&lt;部門打ち特殊商品ID&gt;
型：Integer_x000D_
バイト数：4_x000D_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A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A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9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論理名：[000002105561][20180508161640]&lt;商品ID&gt;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論理名：[000002105562][20180508161640]&lt;商品適用終了日&gt;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論理名：[000002105563][20180508161640]&lt;店舗形態コード&gt;
型：NVarChar2_x000D_
バイト数：2_x000D_
主キー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論理名：[000002105564][20180508161640]&lt;売単価&gt;
型：Numeric_x000D_
バイト数：19_x000D_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論理名：[000002105565][20180508161640]&lt;POS配信対象フラグ&gt;
型：NVarChar2_x000D_
バイト数：2_x000D_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0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論理名：[000002104747][20180519172555]&lt;製品ID&gt;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論理名：[000002105576][20180519172555]&lt;製品コード&gt;
型：NVarChar2_x000D_
バイト数：6_x000D_
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論理名：[000002105577][20180519172555]&lt;地区区分&gt;
型：NVarChar2_x000D_
バイト数：2_x000D_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論理名：[000002104749][20180519172555]&lt;Web表示区分&gt;
型：NVarChar2_x000D_
バイト数：2_x000D_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論理名：[000002104750][20180519172555]&lt;製品案内区分&gt;
型：NVarChar2_x000D_
バイト数：2_x000D_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論理名：[000002104751][20180519172555]&lt;製品案内表示開始日&gt;
型：NVarChar2_x000D_
バイト数：8190_x000D_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論理名：[000002104752][20180519172555]&lt;製品案内表示終了日&gt;
型：NVarChar2_x000D_
バイト数：8190_x000D_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論理名：[000002104753][20180519172555]&lt;製品注文開始日&gt;
型：NVarChar2_x000D_
バイト数：8190_x000D_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論理名：[000002104754][20180519172555]&lt;製品注文終了日&gt;
型：NVarChar2_x000D_
バイト数：8190_x000D_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論理名：[000002106159][20180519172555]&lt;新規登録対象フラグ&gt;
型：NVarChar2_x000D_
バイト数：2_x000D_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1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論理名：[000002104485][20180519172732]&lt;製品ID&gt;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論理名：[000002104486][20180519172732]&lt;適用終了日&gt;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論理名：[000002104487][20180519172732]&lt;適用開始日&gt;
型：NVarChar2_x000D_
バイト数：8190_x000D_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論理名：[000002104490][20180519172732]&lt;業務コード&gt;
型：NVarChar2_x000D_
バイト数：2_x000D_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論理名：[000002104491][20180519172732]&lt;品番&gt;
型：NVarChar2_x000D_
バイト数：6_x000D_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論理名：[000002104492][20180519172732]&lt;製品名&gt;
型：NVarChar2_x000D_
バイト数：15_x000D_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論理名：[000002104493][20180519172732]&lt;サブ地区区分&gt;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論理名：[000002104494][20180519172732]&lt;バロス単価（ＲＣ）&gt;
型：Numeric_x000D_
バイト数：19_x000D_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論理名：[000002104495][20180519172732]&lt;バロス単価（ＦＣ-０）&gt;
型：Numeric_x000D_
バイト数：19_x000D_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論理名：[000002104496][20180519172732]&lt;バロス単価（ＦＣ-１）&gt;
型：Numeric_x000D_
バイト数：19_x000D_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論理名：[000002104497][20180519172732]&lt;バロス単価（ＦＣ-２）&gt;
型：Numeric_x000D_
バイト数：19_x000D_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論理名：[000002104498][20180519172732]&lt;バロス単価（ＦＦＳ）&gt;
型：Numeric_x000D_
バイト数：19_x000D_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論理名：[000002104499][20180519172732]&lt;基本売価&gt;
型：Numeric_x000D_
バイト数：19_x000D_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論理名：[000002104500][20180519172732]&lt;レジ分類&gt;
型：NVarChar2_x000D_
バイト数：10_x000D_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論理名：[000002104501][20180519172732]&lt;製品区分&gt;
型：NVarChar2_x000D_
バイト数：2_x000D_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論理名：[000002104502][20180519172732]&lt;製造区分（１）&gt;
型：NVarChar2_x000D_
バイト数：2_x000D_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論理名：[000002104503][20180519172732]&lt;製造工場コード（１）&gt;
型：NVarChar2_x000D_
バイト数：6_x000D_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論理名：[000002104504][20180519172732]&lt;製造係コード（１）&gt;
型：NVarChar2_x000D_
バイト数：3_x000D_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論理名：[000002104505][20180519172732]&lt;在庫拠点コード（１）&gt;
型：NVarChar2_x000D_
バイト数：6_x000D_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論理名：[000002104506][20180519172732]&lt;製造区分（２）&gt;
型：NVarChar2_x000D_
バイト数：2_x000D_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論理名：[000002104507][20180519172732]&lt;製造工場コード（２）&gt;
型：NVarChar2_x000D_
バイト数：6_x000D_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論理名：[000002104508][20180519172732]&lt;製造係コード（２）&gt;
型：NVarChar2_x000D_
バイト数：3_x000D_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論理名：[000002104509][20180519172732]&lt;在庫拠点コード（２）&gt;
型：NVarChar2_x000D_
バイト数：6_x000D_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論理名：[000002104510][20180519172732]&lt;製造区分（３）&gt;
型：NVarChar2_x000D_
バイト数：2_x000D_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論理名：[000002104511][20180519172732]&lt;製造工場コード（３）&gt;
型：NVarChar2_x000D_
バイト数：6_x000D_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論理名：[000002104512][20180519172732]&lt;製造係コード（３）&gt;
型：NVarChar2_x000D_
バイト数：3_x000D_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論理名：[000002104513][20180519172732]&lt;在庫拠点コード（３）&gt;
型：NVarChar2_x000D_
バイト数：6_x000D_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論理名：[000002104514][20180519172732]&lt;製造区分（４）&gt;
型：NVarChar2_x000D_
バイト数：2_x000D_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論理名：[000002104515][20180519172732]&lt;製造工場コード（４）&gt;
型：NVarChar2_x000D_
バイト数：6_x000D_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論理名：[000002104516][20180519172732]&lt;製造係コード（４）&gt;
型：NVarChar2_x000D_
バイト数：3_x000D_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論理名：[000002104517][20180519172732]&lt;在庫拠点コード（４）&gt;
型：NVarChar2_x000D_
バイト数：6_x000D_
</t>
        </r>
      </text>
    </comment>
    <comment ref="A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論理名：[000002104518][20180519172732]&lt;製造区分（５）&gt;
型：NVarChar2_x000D_
バイト数：2_x000D_
</t>
        </r>
      </text>
    </comment>
    <comment ref="A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論理名：[000002104519][20180519172732]&lt;製造工場コード（５）&gt;
型：NVarChar2_x000D_
バイト数：6_x000D_
</t>
        </r>
      </text>
    </comment>
    <comment ref="A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論理名：[000002104520][20180519172732]&lt;製造係コード（５）&gt;
型：NVarChar2_x000D_
バイト数：3_x000D_
</t>
        </r>
      </text>
    </comment>
    <comment ref="A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論理名：[000002104521][20180519172732]&lt;在庫拠点コード（５）&gt;
型：NVarChar2_x000D_
バイト数：6_x000D_
</t>
        </r>
      </text>
    </comment>
    <comment ref="A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論理名：[000002104522][20180519172732]&lt;製造区分（６）&gt;
型：NVarChar2_x000D_
バイト数：2_x000D_
</t>
        </r>
      </text>
    </comment>
    <comment ref="A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論理名：[000002104523][20180519172732]&lt;製造工場コード（６）&gt;
型：NVarChar2_x000D_
バイト数：6_x000D_
</t>
        </r>
      </text>
    </comment>
    <comment ref="A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論理名：[000002104524][20180519172732]&lt;製造係コード（６）&gt;
型：NVarChar2_x000D_
バイト数：3_x000D_
</t>
        </r>
      </text>
    </comment>
    <comment ref="A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論理名：[000002104525][20180519172732]&lt;在庫拠点コード（６）&gt;
型：NVarChar2_x000D_
バイト数：6_x000D_
</t>
        </r>
      </text>
    </comment>
    <comment ref="A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論理名：[000002104526][20180519172732]&lt;製造区分（７）&gt;
型：NVarChar2_x000D_
バイト数：2_x000D_
</t>
        </r>
      </text>
    </comment>
    <comment ref="A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論理名：[000002104527][20180519172732]&lt;製造工場コード（７）&gt;
型：NVarChar2_x000D_
バイト数：6_x000D_
</t>
        </r>
      </text>
    </comment>
    <comment ref="A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論理名：[000002104528][20180519172732]&lt;製造係コード（７）&gt;
型：NVarChar2_x000D_
バイト数：3_x000D_
</t>
        </r>
      </text>
    </comment>
    <comment ref="A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論理名：[000002104529][20180519172732]&lt;在庫拠点コード（７）&gt;
型：NVarChar2_x000D_
バイト数：6_x000D_
</t>
        </r>
      </text>
    </comment>
    <comment ref="A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論理名：[000002104530][20180519172732]&lt;製造区分（８）&gt;
型：NVarChar2_x000D_
バイト数：2_x000D_
</t>
        </r>
      </text>
    </comment>
    <comment ref="A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論理名：[000002104531][20180519172732]&lt;製造工場コード（８）&gt;
型：NVarChar2_x000D_
バイト数：6_x000D_
</t>
        </r>
      </text>
    </comment>
    <comment ref="A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論理名：[000002104532][20180519172732]&lt;製造係コード（８）&gt;
型：NVarChar2_x000D_
バイト数：3_x000D_
</t>
        </r>
      </text>
    </comment>
    <comment ref="A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論理名：[000002104533][20180519172732]&lt;在庫拠点コード（８）&gt;
型：NVarChar2_x000D_
バイト数：6_x000D_
</t>
        </r>
      </text>
    </comment>
    <comment ref="A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論理名：[000002104534][20180519172732]&lt;製造区分（９）&gt;
型：NVarChar2_x000D_
バイト数：2_x000D_
</t>
        </r>
      </text>
    </comment>
    <comment ref="A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論理名：[000002104535][20180519172732]&lt;製造工場コード（９）&gt;
型：NVarChar2_x000D_
バイト数：6_x000D_
</t>
        </r>
      </text>
    </comment>
    <comment ref="A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論理名：[000002104536][20180519172732]&lt;製造係コード（９）&gt;
型：NVarChar2_x000D_
バイト数：3_x000D_
</t>
        </r>
      </text>
    </comment>
    <comment ref="B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論理名：[000002104537][20180519172732]&lt;在庫拠点コード（９）&gt;
型：NVarChar2_x000D_
バイト数：6_x000D_
</t>
        </r>
      </text>
    </comment>
    <comment ref="B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論理名：[000002104538][20180519172732]&lt;製造区分（１０）&gt;
型：NVarChar2_x000D_
バイト数：2_x000D_
</t>
        </r>
      </text>
    </comment>
    <comment ref="B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論理名：[000002104539][20180519172732]&lt;製造工場コード（１０）&gt;
型：NVarChar2_x000D_
バイト数：6_x000D_
</t>
        </r>
      </text>
    </comment>
    <comment ref="B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論理名：[000002104540][20180519172732]&lt;製造係コード（１０）&gt;
型：NVarChar2_x000D_
バイト数：3_x000D_
</t>
        </r>
      </text>
    </comment>
    <comment ref="B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論理名：[000002104541][20180519172732]&lt;在庫拠点コード（１０）&gt;
型：NVarChar2_x000D_
バイト数：6_x000D_
</t>
        </r>
      </text>
    </comment>
    <comment ref="B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論理名：[000002104542][20180519172732]&lt;番重入数&gt;
型：Numeric_x000D_
バイト数：19_x000D_
</t>
        </r>
      </text>
    </comment>
    <comment ref="B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論理名：[000002104543][20180519172732]&lt;製品分類区分&gt;
型：NVarChar2_x000D_
バイト数：2_x000D_
</t>
        </r>
      </text>
    </comment>
    <comment ref="B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論理名：[000002104544][20180519172732]&lt;取扱フラグ&gt;
型：NVarChar2_x000D_
バイト数：32_x000D_
</t>
        </r>
      </text>
    </comment>
    <comment ref="B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論理名：[000002104546][20180519172732]&lt;取扱フラグ（１０）&gt;
型：NVarChar2_x000D_
バイト数：10_x000D_
</t>
        </r>
      </text>
    </comment>
    <comment ref="B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論理名：[000002104547][20180519172732]&lt;改廃区分&gt;
型：NVarChar2_x000D_
バイト数：2_x000D_
</t>
        </r>
      </text>
    </comment>
    <comment ref="B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論理名：[000002104548][20180519172732]&lt;画像フラグ&gt;
型：NVarChar2_x000D_
バイト数：2_x000D_
</t>
        </r>
      </text>
    </comment>
    <comment ref="B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論理名：[000002104549][20180519172732]&lt;開始日&gt;
型：NVarChar2_x000D_
バイト数：8190_x000D_
</t>
        </r>
      </text>
    </comment>
    <comment ref="B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論理名：[000002104550][20180519172732]&lt;終了日&gt;
型：NVarChar2_x000D_
バイト数：8190_x000D_
</t>
        </r>
      </text>
    </comment>
    <comment ref="B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論理名：[000002104551][20180519172732]&lt;入数&gt;
型：Numeric_x000D_
バイト数：19_x000D_
</t>
        </r>
      </text>
    </comment>
    <comment ref="B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論理名：[000002104552][20180519172732]&lt;単位名漢字&gt;
型：NVarChar2_x000D_
バイト数：22_x000D_
</t>
        </r>
      </text>
    </comment>
    <comment ref="B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論理名：[000002104553][20180519172732]&lt;経費区分&gt;勘定科目コードが入る
型：NVarChar2_x000D_
バイト数：4_x000D_
</t>
        </r>
      </text>
    </comment>
    <comment ref="B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論理名：[000002104554][20180519172732]&lt;バラ単価（ＲＣ）&gt;
型：Numeric_x000D_
バイト数：19_x000D_
</t>
        </r>
      </text>
    </comment>
    <comment ref="B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論理名：[000002104555][20180519172732]&lt;バラ単価（ＦＣ-０）&gt;
型：Numeric_x000D_
バイト数：19_x000D_
</t>
        </r>
      </text>
    </comment>
    <comment ref="B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論理名：[000002104556][20180519172732]&lt;バラ単価（ＦＣ-１）&gt;
型：Numeric_x000D_
バイト数：19_x000D_
</t>
        </r>
      </text>
    </comment>
    <comment ref="B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論理名：[000002104557][20180519172732]&lt;バラ単価（ＦＣ-２）&gt;
型：Numeric_x000D_
バイト数：19_x000D_
</t>
        </r>
      </text>
    </comment>
    <comment ref="B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論理名：[000002104558][20180519172732]&lt;バラ単価（ＦＦＳ）&gt;
型：Numeric_x000D_
バイト数：19_x000D_
</t>
        </r>
      </text>
    </comment>
    <comment ref="B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論理名：[000002104559][20180519172732]&lt;Web表示区分&gt;
型：NVarChar2_x000D_
バイト数：2_x000D_
</t>
        </r>
      </text>
    </comment>
    <comment ref="B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B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B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B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C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C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C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C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C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C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C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C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C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C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2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論理名：[000002104323][20180521162619]&lt;■仕入先コード&gt;
型：NVarChar2_x000D_
バイト数：7_x000D_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論理名：[000002104321][20180521162619]&lt;適用終了日&gt;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論理名：[000002104322][20180521162619]&lt;適用開始日&gt;
型：NVarChar2_x000D_
バイト数：8190_x000D_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論理名：[000002104326][20180521162619]&lt;業務コード&gt;
型：NVarChar2_x000D_
バイト数：2_x000D_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論理名：[000002104327][20180521162619]&lt;地区区分&gt;
型：NVarChar2_x000D_
バイト数：2_x000D_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論理名：[000002104328][20180521162619]&lt;サブ地区区分&gt;
型：NVarChar2_x000D_
バイト数：2_x000D_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論理名：[000002104330][20180521162619]&lt;店舗発注停止フラグ&gt;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論理名：[000002105575][20180521162619]&lt;発注締めID&gt;
型：Integer_x000D_
バイト数：4_x000D_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3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論理名：[000002105568][20180413103938]&lt;仕入先コード&gt;
型：NVarChar2_x000D_
バイト数：7_x000D_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論理名：[000002105569][20180413103938]&lt;年月日&gt;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論理名：[000002105570][20180413103938]&lt;配送可フラグ&gt;
型：NVarChar2_x000D_
バイト数：2_x000D_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4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論理名：[000002104260][20180404152326]&lt;店舗ID&gt;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論理名：[000002104261][20180404152326]&lt;適用終了日&gt;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論理名：[000002106166][20180404152326]&lt;適用開始日&gt;
型：NVarChar2_x000D_
バイト数：8190_x000D_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論理名：[000002104262][20180404152326]&lt;■店舗コード&gt;
型：NVarChar2_x000D_
バイト数：10_x000D_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論理名：[000002105578][20180404152326]&lt;■部門コード&gt;
型：NVarChar2_x000D_
バイト数：2_x000D_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論理名：[000002106167][20180404152326]&lt;店舗名&gt;
型：NVarChar2_x000D_
バイト数：20_x000D_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論理名：[000002104266][20180404152326]&lt;計上先組織ID&gt;
型：Integer_x000D_
バイト数：4_x000D_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論理名：[000002104271][20180404152326]&lt;気象地点コード&gt;
型：NVarChar2_x000D_
バイト数：5_x000D_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論理名：[000002104273][20180404152326]&lt;出荷先ID&gt;
型：Integer_x000D_
バイト数：4_x000D_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論理名：[000002104274][20180404152326]&lt;レジデータ店舗ID&gt;
型：Integer_x000D_
バイト数：4_x000D_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5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論理名：[000002106160][20180519171834]&lt;出荷先ID&gt;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論理名：[000002104389][20180519171834]&lt;適用終了日&gt;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論理名：[000002104390][20180519171834]&lt;適用開始日&gt;
型：NVarChar2_x000D_
バイト数：8190_x000D_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論理名：[000002104393][20180519171834]&lt;出荷先名&gt;
型：NVarChar2_x000D_
バイト数：20_x000D_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論理名：[000002104394][20180519171834]&lt;地区区分&gt;
型：NVarChar2_x000D_
バイト数：2_x000D_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論理名：[000002104396][20180519171834]&lt;サブ地区区分&gt;
型：NVarChar2_x000D_
バイト数：2_x000D_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論理名：[000002104397][20180519171834]&lt;出荷先区分&gt;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論理名：[000002104398][20180519171834]&lt;テリトリIDX&gt;
型：Numeric_x000D_
バイト数：19_x000D_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論理名：[000002104399][20180519171834]&lt;取扱フラグ&gt;
型：NVarChar2_x000D_
バイト数：32_x000D_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論理名：[000002104402][20180519171834]&lt;仕分拠点コード（１）&gt;
型：NVarChar2_x000D_
バイト数：6_x000D_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論理名：[000002104411][20180519171834]&lt;仕分拠点コード（２）&gt;
型：NVarChar2_x000D_
バイト数：6_x000D_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論理名：[000002104420][20180519171834]&lt;仕分拠点コード（３）&gt;
型：NVarChar2_x000D_
バイト数：6_x000D_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論理名：[000002104429][20180519171834]&lt;仕分拠点コード（４）&gt;
型：NVarChar2_x000D_
バイト数：6_x000D_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論理名：[000002104438][20180519171834]&lt;仕分拠点コード（５）&gt;
型：NVarChar2_x000D_
バイト数：6_x000D_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論理名：[000002104447][20180519171834]&lt;仕分拠点コード（６）&gt;
型：NVarChar2_x000D_
バイト数：6_x000D_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論理名：[000002104455][20180519171834]&lt;優先区分&gt;
型：NVarChar2_x000D_
バイト数：2_x000D_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論理名：[000002104457][20180519171834]&lt;納品単価区分&gt;
型：NVarChar2_x000D_
バイト数：2_x000D_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6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論理名：[000002104458][20180519171653]&lt;レジデータ店舗ID&gt;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論理名：[000002104459][20180519171653]&lt;適用終了日&gt;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論理名：[000002104460][20180519171653]&lt;適用開始日&gt;
型：NVarChar2_x000D_
バイト数：8190_x000D_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論理名：[000002104461][20180519171653]&lt;店舗コード&gt;
型：NVarChar2_x000D_
バイト数：10_x000D_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論理名：[000002104462][20180519171653]&lt;部門コード&gt;
型：NVarChar2_x000D_
バイト数：2_x000D_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論理名：[000002104463][20180519171653]&lt;立地業態区分&gt;
型：NVarChar2_x000D_
バイト数：2_x000D_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論理名：[000002104464][20180519171653]&lt;売上規模&gt;
型：Numeric_x000D_
バイト数：19_x000D_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論理名：[000002104465][20180519171653]&lt;売上ランク&gt;
型：NVarChar2_x000D_
バイト数：2_x000D_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論理名：[000002104467][20180519171653]&lt;基幹更新年月日&gt;
型：NVarChar2_x000D_
バイト数：8_x000D_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論理名：[000002104469][20180519171653]&lt;店舗名&gt;
型：NVarChar2_x000D_
バイト数：20_x000D_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論理名：[000002104470][20180519171653]&lt;店舗名略&gt;
型：NVarChar2_x000D_
バイト数：15_x000D_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論理名：[000002107369][20180519171653]&lt;会社&gt;
型：NVarChar2_x000D_
バイト数：1_x000D_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論理名：[000002107370][20180519171653]&lt;会社名&gt;
型：NVarChar2_x000D_
バイト数：5_x000D_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論理名：[000002107371][20180519171653]&lt;営業部&gt;
型：NVarChar2_x000D_
バイト数：1_x000D_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論理名：[000002107372][20180519171653]&lt;営業部名&gt;
型：NVarChar2_x000D_
バイト数：10_x000D_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論理名：[000002104475][20180519171653]&lt;地区&gt;
型：NVarChar2_x000D_
バイト数：2_x000D_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論理名：[000002107373][20180519171653]&lt;地区名&gt;
型：NVarChar2_x000D_
バイト数：6_x000D_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論理名：[000002104477][20180519171653]&lt;地区サブ&gt;
型：NVarChar2_x000D_
バイト数：2_x000D_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論理名：[000002107374][20180519171653]&lt;地区サブ名&gt;
型：NVarChar2_x000D_
バイト数：6_x000D_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論理名：[000002104479][20180519171653]&lt;地区部&gt;
型：NVarChar2_x000D_
バイト数：2_x000D_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論理名：[000002107375][20180519171653]&lt;地区部名&gt;
型：NVarChar2_x000D_
バイト数：6_x000D_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論理名：[000002104481][20180519171653]&lt;SVコード&gt;
型：NVarChar2_x000D_
バイト数：6_x000D_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論理名：[000002104482][20180519171653]&lt;SV名&gt;
型：NVarChar2_x000D_
バイト数：15_x000D_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A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A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A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A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A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A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7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論理名：[000002104303][20180409174306]&lt;組織ID&gt;
型：Integer_x000D_
バイト数：4_x000D_
主キー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論理名：[000002104304][20180409174306]&lt;適用終了日&gt;
型：NVarChar2_x000D_
バイト数：8190_x000D_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論理名：[000002104305][20180409174306]&lt;適用開始日&gt;
型：NVarChar2_x000D_
バイト数：8190_x000D_
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論理名：[000002104306][20180409174306]&lt;■組織コード&gt;
型：NVarChar2_x000D_
バイト数：7_x000D_
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論理名：[000002104307][20180409174306]&lt;組織区分&gt;
型：NVarChar2_x000D_
バイト数：2_x000D_
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論理名：[000002104309][20180409174306]&lt;組織名&gt;
型：NVarChar2_x000D_
バイト数：20_x000D_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論理名：[000002104310][20180409174306]&lt;組織名カナ&gt;
型：NVarChar2_x000D_
バイト数：40_x000D_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論理名：[000002104311][20180409174306]&lt;組織廃止フラグ&gt;
型：NVarChar2_x000D_
バイト数：2_x000D_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論理名：[000002106162][20180409174306]&lt;店舗形態コード&gt;
型：NVarChar2_x000D_
バイト数：2_x000D_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論理名：[000002106163][20180409174306]&lt;出荷先区分&gt;
型：NVarChar2_x000D_
バイト数：2_x000D_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論理名：[000002106164][20180409174306]&lt;地区区分&gt;
型：NVarChar2_x000D_
バイト数：2_x000D_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論理名：[000002106165][20180409174306]&lt;サブ地区区分&gt;
型：NVarChar2_x000D_
バイト数：2_x000D_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8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実際のテーブル名。_x000D_
シート名で表現できない文字数（30文字以上）の場合に追加されます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論理名：[000002107826][20180618101329]&lt;店舗ID&gt;
型：Integer_x000D_
バイト数：4_x000D_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論理名：[000002107827][20180618101329]&lt;セールID&gt;
型：Integer_x000D_
バイト数：4_x000D_
主キー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論理名：[000002107828][20180618101329]&lt;製品ID&gt;
型：Integer_x000D_
バイト数：4_x000D_
主キー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論理名：[000002107829][20180618101329]&lt;廻送日付開始&gt;
型：NVarChar2_x000D_
バイト数：8190_x000D_
主キー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論理名：[000002107830][20180618101329]&lt;店舗コード&gt;店舗マスタ
型：NVarChar2_x000D_
バイト数：10_x000D_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論理名：[000002107831][20180618101329]&lt;部門コード&gt;店舗マスタ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論理名：[000002107832][20180618101329]&lt;店舗名&gt;店舗マスタ
型：NVarChar2_x000D_
バイト数：20_x000D_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論理名：[000002107833][20180618101329]&lt;出荷先区分&gt;店舗マスタ
型：NVarChar2_x000D_
バイト数：2_x000D_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論理名：[000002107834][20180618101329]&lt;地区区分&gt;店舗マスタ
型：NVarChar2_x000D_
バイト数：2_x000D_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論理名：[000002107835][20180618101329]&lt;サブ地区区分&gt;店舗マスタ
型：NVarChar2_x000D_
バイト数：2_x000D_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論理名：[000002107836][20180618101329]&lt;地区サブ名&gt;レジデータ店舗マスタ
型：NVarChar2_x000D_
バイト数：6_x000D_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論理名：[000002107837][20180618101329]&lt;地区部名&gt;レジデータ店舗マスタ
型：NVarChar2_x000D_
バイト数：6_x000D_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論理名：[000002107838][20180618101329]&lt;SVコード&gt;レジデータ店舗マスタ
型：NVarChar2_x000D_
バイト数：6_x000D_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論理名：[000002107839][20180618101329]&lt;SV名&gt;レジデータ店舗マスタ
型：NVarChar2_x000D_
バイト数：15_x000D_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論理名：[000002107937][20180618101329]&lt;組織ID&gt;
型：Integer_x000D_
バイト数：4_x000D_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論理名：[000002107840][20180618101329]&lt;セール区分&gt;
型：NVarChar2_x000D_
バイト数：2_x000D_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論理名：[000002107841][20180618101329]&lt;表示開始日&gt;
型：NVarChar2_x000D_
バイト数：8190_x000D_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論理名：[000002107842][20180618101329]&lt;表示終了日&gt;
型：NVarChar2_x000D_
バイト数：8190_x000D_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論理名：[000002107843][20180618101329]&lt;セール名&gt;
型：NVarChar2_x000D_
バイト数：20_x000D_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論理名：[000002107844][20180618101329]&lt;廻送日付終了&gt;
型：NVarChar2_x000D_
バイト数：8190_x000D_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論理名：[000002107845][20180618101329]&lt;伝票日付&gt;
型：NVarChar2_x000D_
バイト数：8190_x000D_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論理名：[000002107846][20180618101329]&lt;製品コード&gt;
型：NVarChar2_x000D_
バイト数：6_x000D_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論理名：[000002107847][20180618101329]&lt;製品名&gt;
型：NVarChar2_x000D_
バイト数：15_x000D_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論理名：[000002107848][20180618101329]&lt;品番&gt;
型：NVarChar2_x000D_
バイト数：6_x000D_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論理名：[000002107849][20180618101329]&lt;業務コード&gt;
型：NVarChar2_x000D_
バイト数：2_x000D_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論理名：[000002107850][20180618101329]&lt;入数&gt;
型：Numeric_x000D_
バイト数：19_x000D_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論理名：[000002107851][20180618101329]&lt;バラ単価&gt;
型：Numeric_x000D_
バイト数：19_x000D_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論理名：[000002107852][20180618101329]&lt;発注仕入原単価&gt;
型：Numeric_x000D_
バイト数：19_x000D_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論理名：[000002107853][20180618101329]&lt;商品ID&gt;
型：Integer_x000D_
バイト数：4_x000D_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論理名：[000002107854][20180618101329]&lt;商品コード&gt;
型：NVarChar2_x000D_
バイト数：14_x000D_
</t>
        </r>
      </text>
    </comment>
    <comment ref="A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論理名：[000002107855][20180618101329]&lt;商品名&gt;
型：NVarChar2_x000D_
バイト数：25_x000D_
</t>
        </r>
      </text>
    </comment>
    <comment ref="A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論理名：[000002107856][20180618101329]&lt;基本説明&gt;
型：NVarChar2_x000D_
バイト数：8190_x000D_
</t>
        </r>
      </text>
    </comment>
    <comment ref="A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論理名：[000002107857][20180618101329]&lt;レジ大分類ID&gt;
型：Integer_x000D_
バイト数：4_x000D_
</t>
        </r>
      </text>
    </comment>
    <comment ref="A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論理名：[000002107858][20180618101329]&lt;レジ大分類コード&gt;
型：NVarChar2_x000D_
バイト数：10_x000D_
</t>
        </r>
      </text>
    </comment>
    <comment ref="A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論理名：[000002107859][20180618101329]&lt;レジ大分類名&gt;
型：NVarChar2_x000D_
バイト数：20_x000D_
</t>
        </r>
      </text>
    </comment>
    <comment ref="A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論理名：[000002107860][20180618101329]&lt;レジ中分類ID&gt;
型：Integer_x000D_
バイト数：4_x000D_
</t>
        </r>
      </text>
    </comment>
    <comment ref="A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論理名：[000002107861][20180618101329]&lt;レジ中分類コード&gt;
型：NVarChar2_x000D_
バイト数：10_x000D_
</t>
        </r>
      </text>
    </comment>
    <comment ref="A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論理名：[000002107862][20180618101329]&lt;レジ中分類名&gt;
型：NVarChar2_x000D_
バイト数：20_x000D_
</t>
        </r>
      </text>
    </comment>
    <comment ref="A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論理名：[000002107863][20180618101329]&lt;レジ小分類ID&gt;
型：Integer_x000D_
バイト数：4_x000D_
</t>
        </r>
      </text>
    </comment>
    <comment ref="A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論理名：[000002107864][20180618101329]&lt;レジ小分類コード&gt;
型：NVarChar2_x000D_
バイト数：10_x000D_
</t>
        </r>
      </text>
    </comment>
    <comment ref="A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論理名：[000002107865][20180618101329]&lt;レジ小分類名&gt;
型：NVarChar2_x000D_
バイト数：20_x000D_
</t>
        </r>
      </text>
    </comment>
    <comment ref="A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論理名：[000002107866][20180618101329]&lt;単品分類ID&gt;
型：Integer_x000D_
バイト数：4_x000D_
</t>
        </r>
      </text>
    </comment>
    <comment ref="A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論理名：[000002107867][20180618101329]&lt;単品分類コード&gt;
型：NVarChar2_x000D_
バイト数：10_x000D_
</t>
        </r>
      </text>
    </comment>
    <comment ref="A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論理名：[000002107868][20180618101329]&lt;単品分類名&gt;
型：NVarChar2_x000D_
バイト数：20_x000D_
</t>
        </r>
      </text>
    </comment>
    <comment ref="A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論理名：[000002107869][20180618101329]&lt;売単価&gt;店別売価は反映されていない
型：Numeric_x000D_
バイト数：19_x000D_
</t>
        </r>
      </text>
    </comment>
    <comment ref="A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論理名：[000002107870][20180618101329]&lt;仕入先コード&gt;
型：NVarChar2_x000D_
バイト数：7_x000D_
</t>
        </r>
      </text>
    </comment>
    <comment ref="A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論理名：[000002107871][20180618101329]&lt;供給LT&gt;
型：Numeric_x000D_
バイト数：19_x000D_
</t>
        </r>
      </text>
    </comment>
    <comment ref="A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論理名：[000002107872][20180618101329]&lt;発注締めID&gt;
型：Integer_x000D_
バイト数：4_x000D_
</t>
        </r>
      </text>
    </comment>
    <comment ref="A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論理名：[000002107873][20180618101329]&lt;配送可フラグ&gt;
型：NVarChar2_x000D_
バイト数：2_x000D_
</t>
        </r>
      </text>
    </comment>
    <comment ref="B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B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B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論理名：[999999999903][000000000000]&lt;登録日時&gt;
型：NVarChar2_x000D_
バイト数：8190_x000D_
</t>
        </r>
      </text>
    </comment>
    <comment ref="B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B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B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論理名：[999999999906][000000000000]&lt;登録トランザクションID&gt;
型：NVarChar2_x000D_
バイト数：36_x000D_
</t>
        </r>
      </text>
    </comment>
    <comment ref="B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B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論理名：[999999999908][000000000000]&lt;更新日時&gt;
型：NVarChar2_x000D_
バイト数：8190_x000D_
</t>
        </r>
      </text>
    </comment>
    <comment ref="B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B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B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論理名：[999999999911][000000000000]&lt;更新トランザクションID&gt;
型：NVarChar2_x000D_
バイト数：36_x000D_
</t>
        </r>
      </text>
    </comment>
    <comment ref="B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論理名：[999999999912][000000000000]&lt;バッチID&gt;
型：NVarChar2_x000D_
バイト数：32_x000D_
</t>
        </r>
      </text>
    </comment>
    <comment ref="B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論理名：[999999999913][000000000000]&lt;パッチ日時&gt;
型：NVarChar2_x000D_
バイト数：8190_x000D_
</t>
        </r>
      </text>
    </comment>
    <comment ref="B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comments19.xml><?xml version="1.0" encoding="utf-8"?>
<comments xmlns="http://schemas.openxmlformats.org/spreadsheetml/2006/main">
  <authors>
    <author>mbp</author>
  </authors>
  <commentList>
    <comment ref="A1" authorId="0" shapeId="0">
      <text>
        <r>
          <rPr>
            <sz val="9"/>
            <color indexed="81"/>
            <rFont val="ＭＳ Ｐゴシック"/>
            <family val="3"/>
            <charset val="128"/>
          </rPr>
          <t>実際のテーブル名。_x000D_
シート名で表現できない文字数（30文字以上）の場合に追加されます</t>
        </r>
      </text>
    </comment>
    <comment ref="B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データの意味や何のテスト用か、と言った情報を記述してください。</t>
        </r>
      </text>
    </comment>
    <comment ref="C1" authorId="0" shapeId="0">
      <text>
        <r>
          <rPr>
            <sz val="9"/>
            <color indexed="81"/>
            <rFont val="ＭＳ Ｐゴシック"/>
            <family val="3"/>
            <charset val="128"/>
          </rPr>
          <t>データの種類（正常系、異常系、境界値用など）を記述してください。</t>
        </r>
      </text>
    </comment>
    <comment ref="D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論理名：[000002107826][20180618101329]&lt;店舗ID&gt;
型：Integer_x000D_
バイト数：4_x000D_
主キー</t>
        </r>
      </text>
    </comment>
    <comment ref="E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論理名：[000002107827][20180618101329]&lt;セールID&gt;
型：Integer_x000D_
バイト数：4_x000D_
主キー</t>
        </r>
      </text>
    </comment>
    <comment ref="F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論理名：[000002107828][20180618101329]&lt;製品ID&gt;
型：Integer_x000D_
バイト数：4_x000D_
主キー</t>
        </r>
      </text>
    </comment>
    <comment ref="G1" authorId="0" shapeId="0">
      <text>
        <r>
          <rPr>
            <sz val="9"/>
            <color indexed="81"/>
            <rFont val="ＭＳ Ｐゴシック"/>
            <family val="3"/>
            <charset val="128"/>
          </rPr>
          <t>論理名：[000002107829][20180618101329]&lt;廻送日付開始&gt;
型：NVarChar2_x000D_
バイト数：8190_x000D_
主キー</t>
        </r>
      </text>
    </comment>
    <comment ref="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論理名：[000002107830][20180618101329]&lt;店舗コード&gt;店舗マスタ
型：NVarChar2_x000D_
バイト数：10_x000D_
</t>
        </r>
      </text>
    </comment>
    <comment ref="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論理名：[000002107831][20180618101329]&lt;部門コード&gt;店舗マスタ
型：NVarChar2_x000D_
バイト数：2_x000D_
</t>
        </r>
      </text>
    </comment>
    <comment ref="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論理名：[000002107832][20180618101329]&lt;店舗名&gt;店舗マスタ
型：NVarChar2_x000D_
バイト数：20_x000D_
</t>
        </r>
      </text>
    </comment>
    <comment ref="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論理名：[000002107833][20180618101329]&lt;出荷先区分&gt;店舗マスタ
型：NVarChar2_x000D_
バイト数：2_x000D_
</t>
        </r>
      </text>
    </comment>
    <comment ref="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論理名：[000002107834][20180618101329]&lt;地区区分&gt;店舗マスタ
型：NVarChar2_x000D_
バイト数：2_x000D_
</t>
        </r>
      </text>
    </comment>
    <comment ref="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論理名：[000002107835][20180618101329]&lt;サブ地区区分&gt;店舗マスタ
型：NVarChar2_x000D_
バイト数：2_x000D_
</t>
        </r>
      </text>
    </comment>
    <comment ref="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論理名：[000002107836][20180618101329]&lt;地区サブ名&gt;レジデータ店舗マスタ
型：NVarChar2_x000D_
バイト数：6_x000D_
</t>
        </r>
      </text>
    </comment>
    <comment ref="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論理名：[000002107837][20180618101329]&lt;地区部名&gt;レジデータ店舗マスタ
型：NVarChar2_x000D_
バイト数：6_x000D_
</t>
        </r>
      </text>
    </comment>
    <comment ref="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論理名：[000002107838][20180618101329]&lt;SVコード&gt;レジデータ店舗マスタ
型：NVarChar2_x000D_
バイト数：6_x000D_
</t>
        </r>
      </text>
    </comment>
    <comment ref="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論理名：[000002107839][20180618101329]&lt;SV名&gt;レジデータ店舗マスタ
型：NVarChar2_x000D_
バイト数：15_x000D_
</t>
        </r>
      </text>
    </comment>
    <comment ref="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論理名：[000002107937][20180618101329]&lt;組織ID&gt;
型：Integer_x000D_
バイト数：4_x000D_
</t>
        </r>
      </text>
    </comment>
    <comment ref="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論理名：[000002107840][20180618101329]&lt;セール区分&gt;
型：NVarChar2_x000D_
バイト数：2_x000D_
</t>
        </r>
      </text>
    </comment>
    <comment ref="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論理名：[000002107841][20180618101329]&lt;表示開始日&gt;
型：NVarChar2_x000D_
バイト数：8190_x000D_
</t>
        </r>
      </text>
    </comment>
    <comment ref="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論理名：[000002107842][20180618101329]&lt;表示終了日&gt;
型：NVarChar2_x000D_
バイト数：8190_x000D_
</t>
        </r>
      </text>
    </comment>
    <comment ref="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論理名：[000002107843][20180618101329]&lt;セール名&gt;
型：NVarChar2_x000D_
バイト数：20_x000D_
</t>
        </r>
      </text>
    </comment>
    <comment ref="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論理名：[000002107844][20180618101329]&lt;廻送日付終了&gt;
型：NVarChar2_x000D_
バイト数：8190_x000D_
</t>
        </r>
      </text>
    </comment>
    <comment ref="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論理名：[000002107845][20180618101329]&lt;伝票日付&gt;
型：NVarChar2_x000D_
バイト数：8190_x000D_
</t>
        </r>
      </text>
    </comment>
    <comment ref="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論理名：[000002107846][20180618101329]&lt;製品コード&gt;
型：NVarChar2_x000D_
バイト数：6_x000D_
</t>
        </r>
      </text>
    </comment>
    <comment ref="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論理名：[000002107847][20180618101329]&lt;製品名&gt;
型：NVarChar2_x000D_
バイト数：15_x000D_
</t>
        </r>
      </text>
    </comment>
    <comment ref="A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論理名：[000002107848][20180618101329]&lt;品番&gt;
型：NVarChar2_x000D_
バイト数：6_x000D_
</t>
        </r>
      </text>
    </comment>
    <comment ref="A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論理名：[000002107849][20180618101329]&lt;業務コード&gt;
型：NVarChar2_x000D_
バイト数：2_x000D_
</t>
        </r>
      </text>
    </comment>
    <comment ref="A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論理名：[000002107850][20180618101329]&lt;入数&gt;
型：Numeric_x000D_
バイト数：19_x000D_
</t>
        </r>
      </text>
    </comment>
    <comment ref="A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論理名：[000002107851][20180618101329]&lt;バラ単価&gt;
型：Numeric_x000D_
バイト数：19_x000D_
</t>
        </r>
      </text>
    </comment>
    <comment ref="A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論理名：[000002107852][20180618101329]&lt;発注仕入原単価&gt;
型：Numeric_x000D_
バイト数：19_x000D_
</t>
        </r>
      </text>
    </comment>
    <comment ref="A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論理名：[000002107853][20180618101329]&lt;商品ID&gt;
型：Integer_x000D_
バイト数：4_x000D_
</t>
        </r>
      </text>
    </comment>
    <comment ref="A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論理名：[000002107854][20180618101329]&lt;商品コード&gt;
型：NVarChar2_x000D_
バイト数：14_x000D_
</t>
        </r>
      </text>
    </comment>
    <comment ref="A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論理名：[000002107855][20180618101329]&lt;商品名&gt;
型：NVarChar2_x000D_
バイト数：25_x000D_
</t>
        </r>
      </text>
    </comment>
    <comment ref="AI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論理名：[000002107856][20180618101329]&lt;基本説明&gt;
型：NVarChar2_x000D_
バイト数：8190_x000D_
</t>
        </r>
      </text>
    </comment>
    <comment ref="AJ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論理名：[000002107857][20180618101329]&lt;レジ大分類ID&gt;
型：Integer_x000D_
バイト数：4_x000D_
</t>
        </r>
      </text>
    </comment>
    <comment ref="AK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論理名：[000002107858][20180618101329]&lt;レジ大分類コード&gt;
型：NVarChar2_x000D_
バイト数：10_x000D_
</t>
        </r>
      </text>
    </comment>
    <comment ref="AL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論理名：[000002107859][20180618101329]&lt;レジ大分類名&gt;
型：NVarChar2_x000D_
バイト数：20_x000D_
</t>
        </r>
      </text>
    </comment>
    <comment ref="AM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論理名：[000002107860][20180618101329]&lt;レジ中分類ID&gt;
型：Integer_x000D_
バイト数：4_x000D_
</t>
        </r>
      </text>
    </comment>
    <comment ref="AN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論理名：[000002107861][20180618101329]&lt;レジ中分類コード&gt;
型：NVarChar2_x000D_
バイト数：10_x000D_
</t>
        </r>
      </text>
    </comment>
    <comment ref="AO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論理名：[000002107862][20180618101329]&lt;レジ中分類名&gt;
型：NVarChar2_x000D_
バイト数：20_x000D_
</t>
        </r>
      </text>
    </comment>
    <comment ref="AP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論理名：[000002107863][20180618101329]&lt;レジ小分類ID&gt;
型：Integer_x000D_
バイト数：4_x000D_
</t>
        </r>
      </text>
    </comment>
    <comment ref="AQ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論理名：[000002107864][20180618101329]&lt;レジ小分類コード&gt;
型：NVarChar2_x000D_
バイト数：10_x000D_
</t>
        </r>
      </text>
    </comment>
    <comment ref="AR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論理名：[000002107865][20180618101329]&lt;レジ小分類名&gt;
型：NVarChar2_x000D_
バイト数：20_x000D_
</t>
        </r>
      </text>
    </comment>
    <comment ref="AS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論理名：[000002107866][20180618101329]&lt;単品分類ID&gt;
型：Integer_x000D_
バイト数：4_x000D_
</t>
        </r>
      </text>
    </comment>
    <comment ref="AT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論理名：[000002107867][20180618101329]&lt;単品分類コード&gt;
型：NVarChar2_x000D_
バイト数：10_x000D_
</t>
        </r>
      </text>
    </comment>
    <comment ref="AU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論理名：[000002107868][20180618101329]&lt;単品分類名&gt;
型：NVarChar2_x000D_
バイト数：20_x000D_
</t>
        </r>
      </text>
    </comment>
    <comment ref="AV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論理名：[000002107869][20180618101329]&lt;売単価&gt;店別売価は反映されていない
型：Numeric_x000D_
バイト数：19_x000D_
</t>
        </r>
      </text>
    </comment>
    <comment ref="AW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論理名：[000002107870][20180618101329]&lt;仕入先コード&gt;
型：NVarChar2_x000D_
バイト数：7_x000D_
</t>
        </r>
      </text>
    </comment>
    <comment ref="AX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論理名：[000002107871][20180618101329]&lt;供給LT&gt;
型：Numeric_x000D_
バイト数：19_x000D_
</t>
        </r>
      </text>
    </comment>
    <comment ref="AY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論理名：[000002107872][20180618101329]&lt;発注締めID&gt;
型：Integer_x000D_
バイト数：4_x000D_
</t>
        </r>
      </text>
    </comment>
    <comment ref="AZ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論理名：[000002107873][20180618101329]&lt;配送可フラグ&gt;
型：NVarChar2_x000D_
バイト数：2_x000D_
</t>
        </r>
      </text>
    </comment>
    <comment ref="BA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論理名：[999999999901][000000000000]&lt;削除フラグ&gt;
型：NVarChar2_x000D_
バイト数：2_x000D_
</t>
        </r>
      </text>
    </comment>
    <comment ref="BB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論理名：[999999999902][000000000000]&lt;登録プログラムコード&gt;
型：NVarChar2_x000D_
バイト数：16_x000D_
</t>
        </r>
      </text>
    </comment>
    <comment ref="BC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論理名：[999999999904][000000000000]&lt;登録ユーザーアカウントコード&gt;
型：NVarChar2_x000D_
バイト数：20_x000D_
</t>
        </r>
      </text>
    </comment>
    <comment ref="BD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論理名：[999999999905][000000000000]&lt;登録端末IPアドレス&gt;
型：NVarChar2_x000D_
バイト数：15_x000D_
</t>
        </r>
      </text>
    </comment>
    <comment ref="BE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論理名：[999999999907][000000000000]&lt;更新プログラムコード&gt;
型：NVarChar2_x000D_
バイト数：16_x000D_
</t>
        </r>
      </text>
    </comment>
    <comment ref="BF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論理名：[999999999909][000000000000]&lt;更新ユーザーアカウントコード&gt;
型：NVarChar2_x000D_
バイト数：20_x000D_
</t>
        </r>
      </text>
    </comment>
    <comment ref="BG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論理名：[999999999910][000000000000]&lt;更新端末IPアドレス&gt;
型：NVarChar2_x000D_
バイト数：15_x000D_
</t>
        </r>
      </text>
    </comment>
    <comment ref="BH1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論理名：[999999999914][000000000000]&lt;ロック番号&gt;
型：Integer_x000D_
バイト数：4_x000D_
</t>
        </r>
      </text>
    </comment>
  </commentList>
</comments>
</file>

<file path=xl/sharedStrings.xml><?xml version="1.0" encoding="utf-8"?>
<sst xmlns="http://schemas.openxmlformats.org/spreadsheetml/2006/main" count="7604" uniqueCount="1136">
  <si>
    <t>　</t>
    <phoneticPr fontId="1"/>
  </si>
  <si>
    <t>Ver</t>
    <phoneticPr fontId="1"/>
  </si>
  <si>
    <t>更新履歴</t>
    <rPh sb="0" eb="2">
      <t>コウシン</t>
    </rPh>
    <rPh sb="2" eb="4">
      <t>リレキ</t>
    </rPh>
    <phoneticPr fontId="1"/>
  </si>
  <si>
    <t>Ver</t>
    <phoneticPr fontId="1"/>
  </si>
  <si>
    <t>更新箇所</t>
    <rPh sb="0" eb="2">
      <t>コウシン</t>
    </rPh>
    <rPh sb="2" eb="4">
      <t>カショ</t>
    </rPh>
    <phoneticPr fontId="1"/>
  </si>
  <si>
    <t>更新内容</t>
    <rPh sb="0" eb="2">
      <t>コウシン</t>
    </rPh>
    <rPh sb="2" eb="4">
      <t>ナイヨウ</t>
    </rPh>
    <phoneticPr fontId="1"/>
  </si>
  <si>
    <t>更新理由</t>
    <rPh sb="0" eb="2">
      <t>コウシン</t>
    </rPh>
    <rPh sb="2" eb="4">
      <t>リユウ</t>
    </rPh>
    <phoneticPr fontId="1"/>
  </si>
  <si>
    <t>修正日</t>
    <rPh sb="0" eb="2">
      <t>シュウセイ</t>
    </rPh>
    <rPh sb="2" eb="3">
      <t>ビ</t>
    </rPh>
    <phoneticPr fontId="1"/>
  </si>
  <si>
    <t>修正者</t>
    <rPh sb="0" eb="2">
      <t>シュウセイ</t>
    </rPh>
    <rPh sb="2" eb="3">
      <t>シャ</t>
    </rPh>
    <phoneticPr fontId="1"/>
  </si>
  <si>
    <t>新規作成</t>
    <phoneticPr fontId="1"/>
  </si>
  <si>
    <t>想定結果</t>
    <rPh sb="0" eb="2">
      <t>ソウテイ</t>
    </rPh>
    <rPh sb="2" eb="4">
      <t>ケッカ</t>
    </rPh>
    <phoneticPr fontId="1"/>
  </si>
  <si>
    <t>テスト項目</t>
    <rPh sb="3" eb="5">
      <t>コウモク</t>
    </rPh>
    <phoneticPr fontId="1"/>
  </si>
  <si>
    <t>テストケース一覧</t>
    <rPh sb="6" eb="8">
      <t>イチラン</t>
    </rPh>
    <phoneticPr fontId="1"/>
  </si>
  <si>
    <t>操作/検証</t>
    <rPh sb="0" eb="2">
      <t>ソウサ</t>
    </rPh>
    <rPh sb="3" eb="5">
      <t>ケンショウ</t>
    </rPh>
    <phoneticPr fontId="1"/>
  </si>
  <si>
    <t>テスト実施内容詳細</t>
    <rPh sb="3" eb="5">
      <t>ジッシ</t>
    </rPh>
    <rPh sb="5" eb="7">
      <t>ナイヨウ</t>
    </rPh>
    <rPh sb="7" eb="9">
      <t>ショウサイ</t>
    </rPh>
    <phoneticPr fontId="1"/>
  </si>
  <si>
    <t>テスト対象仕様</t>
    <rPh sb="3" eb="5">
      <t>タイショウ</t>
    </rPh>
    <rPh sb="5" eb="7">
      <t>シヨウ</t>
    </rPh>
    <phoneticPr fontId="1"/>
  </si>
  <si>
    <t>対象項目</t>
    <rPh sb="0" eb="2">
      <t>タイショウ</t>
    </rPh>
    <rPh sb="2" eb="4">
      <t>コウモク</t>
    </rPh>
    <phoneticPr fontId="1"/>
  </si>
  <si>
    <t>説明文</t>
    <rPh sb="0" eb="3">
      <t>セツメイブン</t>
    </rPh>
    <phoneticPr fontId="1"/>
  </si>
  <si>
    <t>行の高さ合わせ用</t>
    <rPh sb="0" eb="1">
      <t>ギョウ</t>
    </rPh>
    <rPh sb="2" eb="3">
      <t>タカ</t>
    </rPh>
    <rPh sb="4" eb="5">
      <t>ア</t>
    </rPh>
    <rPh sb="7" eb="8">
      <t>ヨウ</t>
    </rPh>
    <phoneticPr fontId="1"/>
  </si>
  <si>
    <t>更新日</t>
    <rPh sb="0" eb="3">
      <t>コウシンビ</t>
    </rPh>
    <phoneticPr fontId="1"/>
  </si>
  <si>
    <t>承認日</t>
    <rPh sb="0" eb="2">
      <t>ショウニン</t>
    </rPh>
    <rPh sb="2" eb="3">
      <t>ビ</t>
    </rPh>
    <phoneticPr fontId="1"/>
  </si>
  <si>
    <t>承認者</t>
    <rPh sb="0" eb="2">
      <t>ショウニン</t>
    </rPh>
    <rPh sb="2" eb="3">
      <t>シャ</t>
    </rPh>
    <phoneticPr fontId="1"/>
  </si>
  <si>
    <t>作成日</t>
    <rPh sb="0" eb="3">
      <t>サクセイビ</t>
    </rPh>
    <phoneticPr fontId="3"/>
  </si>
  <si>
    <t>作成者</t>
    <rPh sb="0" eb="2">
      <t>サクセイ</t>
    </rPh>
    <rPh sb="2" eb="3">
      <t>シャ</t>
    </rPh>
    <phoneticPr fontId="3"/>
  </si>
  <si>
    <t>更新者</t>
    <rPh sb="0" eb="2">
      <t>コウシン</t>
    </rPh>
    <rPh sb="2" eb="3">
      <t>シャ</t>
    </rPh>
    <phoneticPr fontId="1"/>
  </si>
  <si>
    <t>確認仕様説明</t>
    <rPh sb="0" eb="2">
      <t>カクニン</t>
    </rPh>
    <rPh sb="2" eb="4">
      <t>シヨウ</t>
    </rPh>
    <rPh sb="4" eb="6">
      <t>セツメイ</t>
    </rPh>
    <phoneticPr fontId="1"/>
  </si>
  <si>
    <t>1.0</t>
    <phoneticPr fontId="1"/>
  </si>
  <si>
    <t>単体テスト仕様書</t>
    <rPh sb="0" eb="2">
      <t>タンタイ</t>
    </rPh>
    <rPh sb="5" eb="7">
      <t>シヨウ</t>
    </rPh>
    <rPh sb="7" eb="8">
      <t>ショ</t>
    </rPh>
    <phoneticPr fontId="1"/>
  </si>
  <si>
    <t>項目No</t>
    <rPh sb="0" eb="2">
      <t>コウモク</t>
    </rPh>
    <phoneticPr fontId="1"/>
  </si>
  <si>
    <t>サブシステム名</t>
    <rPh sb="6" eb="7">
      <t>メイ</t>
    </rPh>
    <phoneticPr fontId="1"/>
  </si>
  <si>
    <t>システム名</t>
    <rPh sb="4" eb="5">
      <t>メイ</t>
    </rPh>
    <phoneticPr fontId="1"/>
  </si>
  <si>
    <t>機能ID</t>
    <rPh sb="0" eb="2">
      <t>キノウ</t>
    </rPh>
    <phoneticPr fontId="1"/>
  </si>
  <si>
    <t>機能名</t>
    <rPh sb="0" eb="2">
      <t>キノウ</t>
    </rPh>
    <rPh sb="2" eb="3">
      <t>メイ</t>
    </rPh>
    <phoneticPr fontId="1"/>
  </si>
  <si>
    <t>機能論理名</t>
    <rPh sb="0" eb="2">
      <t>キノウ</t>
    </rPh>
    <rPh sb="2" eb="4">
      <t>ロンリ</t>
    </rPh>
    <rPh sb="4" eb="5">
      <t>メイ</t>
    </rPh>
    <phoneticPr fontId="1"/>
  </si>
  <si>
    <t>Copyright © 2016 by Future Architect, Inc. Japan</t>
    <phoneticPr fontId="1"/>
  </si>
  <si>
    <t>サブシステムID</t>
    <phoneticPr fontId="1"/>
  </si>
  <si>
    <t>テストシナリオ番号</t>
    <phoneticPr fontId="1"/>
  </si>
  <si>
    <t>テスト内容</t>
    <rPh sb="3" eb="5">
      <t>ナイヨウ</t>
    </rPh>
    <phoneticPr fontId="29"/>
  </si>
  <si>
    <t>テスト対象</t>
    <rPh sb="3" eb="5">
      <t>タイショウ</t>
    </rPh>
    <phoneticPr fontId="29"/>
  </si>
  <si>
    <t>テスト種別</t>
    <rPh sb="3" eb="5">
      <t>シュベツ</t>
    </rPh>
    <phoneticPr fontId="29"/>
  </si>
  <si>
    <t>確認項目</t>
    <rPh sb="0" eb="2">
      <t>カクニン</t>
    </rPh>
    <rPh sb="2" eb="4">
      <t>コウモク</t>
    </rPh>
    <phoneticPr fontId="29"/>
  </si>
  <si>
    <t>評価式</t>
    <rPh sb="0" eb="2">
      <t>ヒョウカ</t>
    </rPh>
    <rPh sb="2" eb="3">
      <t>シキ</t>
    </rPh>
    <phoneticPr fontId="29"/>
  </si>
  <si>
    <t>確認仕様</t>
    <rPh sb="0" eb="2">
      <t>カクニン</t>
    </rPh>
    <rPh sb="2" eb="4">
      <t>シヨウ</t>
    </rPh>
    <phoneticPr fontId="29"/>
  </si>
  <si>
    <t>想定結果</t>
    <rPh sb="0" eb="2">
      <t>ソウテイ</t>
    </rPh>
    <rPh sb="2" eb="4">
      <t>ケッカ</t>
    </rPh>
    <phoneticPr fontId="29"/>
  </si>
  <si>
    <t>備考</t>
    <rPh sb="0" eb="2">
      <t>ビコウ</t>
    </rPh>
    <phoneticPr fontId="29"/>
  </si>
  <si>
    <t>抽出元シート</t>
    <rPh sb="0" eb="2">
      <t>チュウシュツ</t>
    </rPh>
    <rPh sb="2" eb="3">
      <t>モト</t>
    </rPh>
    <phoneticPr fontId="29"/>
  </si>
  <si>
    <t>抽出元</t>
    <rPh sb="0" eb="2">
      <t>チュウシュツ</t>
    </rPh>
    <rPh sb="2" eb="3">
      <t>モト</t>
    </rPh>
    <phoneticPr fontId="29"/>
  </si>
  <si>
    <t>テスト結果</t>
    <rPh sb="3" eb="5">
      <t>ケッカ</t>
    </rPh>
    <phoneticPr fontId="29"/>
  </si>
  <si>
    <t>担当者</t>
    <rPh sb="0" eb="2">
      <t>タントウ</t>
    </rPh>
    <rPh sb="2" eb="3">
      <t>シャ</t>
    </rPh>
    <phoneticPr fontId="29"/>
  </si>
  <si>
    <t>実施日</t>
    <rPh sb="0" eb="2">
      <t>ジッシ</t>
    </rPh>
    <rPh sb="2" eb="3">
      <t>ビ</t>
    </rPh>
    <phoneticPr fontId="29"/>
  </si>
  <si>
    <t>○</t>
  </si>
  <si>
    <t>-</t>
  </si>
  <si>
    <t>ユニット/手動</t>
  </si>
  <si>
    <t>ディシジョンの期待結果通りとなること</t>
  </si>
  <si>
    <t>ディシジョン.D-1</t>
  </si>
  <si>
    <t/>
  </si>
  <si>
    <t>14.ディシジョン</t>
  </si>
  <si>
    <t>default</t>
  </si>
  <si>
    <t>request</t>
    <phoneticPr fontId="27"/>
  </si>
  <si>
    <t>リクエストパラメータのデフォルト値（システム項目など。パターン指定の項目とマージされる）</t>
    <rPh sb="16" eb="17">
      <t>チ</t>
    </rPh>
    <rPh sb="22" eb="24">
      <t>コウモク</t>
    </rPh>
    <rPh sb="31" eb="33">
      <t>シテイ</t>
    </rPh>
    <rPh sb="34" eb="36">
      <t>コウモク</t>
    </rPh>
    <phoneticPr fontId="1"/>
  </si>
  <si>
    <t>!データ説明</t>
    <rPh sb="4" eb="6">
      <t>セツメイ</t>
    </rPh>
    <phoneticPr fontId="1"/>
  </si>
  <si>
    <t>!データタイプ</t>
    <phoneticPr fontId="27"/>
  </si>
  <si>
    <t>pgmCd</t>
    <phoneticPr fontId="27"/>
  </si>
  <si>
    <t>userAcctCd</t>
    <phoneticPr fontId="27"/>
  </si>
  <si>
    <t>terminalIpAddr</t>
    <phoneticPr fontId="27"/>
  </si>
  <si>
    <t>デフォルト設定</t>
    <rPh sb="5" eb="7">
      <t>セッテイ</t>
    </rPh>
    <phoneticPr fontId="1"/>
  </si>
  <si>
    <t>正常系</t>
    <rPh sb="0" eb="2">
      <t>セイジョウ</t>
    </rPh>
    <rPh sb="2" eb="3">
      <t>ケイ</t>
    </rPh>
    <phoneticPr fontId="27"/>
  </si>
  <si>
    <t>testUser</t>
    <phoneticPr fontId="27"/>
  </si>
  <si>
    <t>2</t>
  </si>
  <si>
    <t>3</t>
  </si>
  <si>
    <t>1</t>
  </si>
  <si>
    <t>ディシジョンテーブル定義</t>
  </si>
  <si>
    <t>4</t>
  </si>
  <si>
    <t>5</t>
  </si>
  <si>
    <t>6</t>
  </si>
  <si>
    <t>項目名称（論理名）</t>
    <rPh sb="0" eb="2">
      <t>コウモク</t>
    </rPh>
    <rPh sb="2" eb="3">
      <t>メイ</t>
    </rPh>
    <rPh sb="3" eb="4">
      <t>ショウ</t>
    </rPh>
    <rPh sb="5" eb="7">
      <t>ロンリ</t>
    </rPh>
    <rPh sb="7" eb="8">
      <t>メイ</t>
    </rPh>
    <phoneticPr fontId="1"/>
  </si>
  <si>
    <t>グループ項目名</t>
    <rPh sb="4" eb="6">
      <t>コウモク</t>
    </rPh>
    <rPh sb="6" eb="7">
      <t>メイ</t>
    </rPh>
    <phoneticPr fontId="1"/>
  </si>
  <si>
    <t>項目名称（物理名）</t>
    <rPh sb="0" eb="2">
      <t>コウモク</t>
    </rPh>
    <rPh sb="2" eb="4">
      <t>メイショウ</t>
    </rPh>
    <rPh sb="5" eb="7">
      <t>ブツリ</t>
    </rPh>
    <rPh sb="7" eb="8">
      <t>メイ</t>
    </rPh>
    <phoneticPr fontId="1"/>
  </si>
  <si>
    <t>－</t>
    <phoneticPr fontId="1"/>
  </si>
  <si>
    <t>システム名</t>
    <phoneticPr fontId="1"/>
  </si>
  <si>
    <t>FJY</t>
    <phoneticPr fontId="1"/>
  </si>
  <si>
    <t>サブシステム名</t>
    <phoneticPr fontId="1"/>
  </si>
  <si>
    <t>テストスクリプト</t>
    <phoneticPr fontId="1"/>
  </si>
  <si>
    <t>ケースNo</t>
    <phoneticPr fontId="1"/>
  </si>
  <si>
    <t>カテゴリ</t>
    <phoneticPr fontId="1"/>
  </si>
  <si>
    <t>※</t>
    <phoneticPr fontId="1"/>
  </si>
  <si>
    <t>INDEX</t>
    <phoneticPr fontId="1"/>
  </si>
  <si>
    <t>パラメータ</t>
    <phoneticPr fontId="1"/>
  </si>
  <si>
    <t>コマンド</t>
    <phoneticPr fontId="1"/>
  </si>
  <si>
    <t>―</t>
    <phoneticPr fontId="1"/>
  </si>
  <si>
    <t>―</t>
  </si>
  <si>
    <t>Future  侯慶好</t>
    <phoneticPr fontId="1"/>
  </si>
  <si>
    <t>DBテーブルのスナップショットと内容検査</t>
    <phoneticPr fontId="1"/>
  </si>
  <si>
    <t>v1</t>
    <phoneticPr fontId="1"/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</si>
  <si>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</si>
  <si>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</si>
  <si>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</si>
  <si>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</si>
  <si>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</si>
  <si>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</si>
  <si>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</si>
  <si>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</si>
  <si>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</si>
  <si>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</si>
  <si>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</si>
  <si>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</si>
  <si>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ディシジョン.D-2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</si>
  <si>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</si>
  <si>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</si>
  <si>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</si>
  <si>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</si>
  <si>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</si>
  <si>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</si>
  <si>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</si>
  <si>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</si>
  <si>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</si>
  <si>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</si>
  <si>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</si>
  <si>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</si>
  <si>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</si>
  <si>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</si>
  <si>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127.0.0.1</t>
    <phoneticPr fontId="27"/>
  </si>
  <si>
    <t>D-1-1</t>
    <phoneticPr fontId="27"/>
  </si>
  <si>
    <t>bizYmd</t>
  </si>
  <si>
    <t>正常系１</t>
    <rPh sb="0" eb="2">
      <t>セイジョウ</t>
    </rPh>
    <rPh sb="2" eb="3">
      <t>ケイ</t>
    </rPh>
    <phoneticPr fontId="1"/>
  </si>
  <si>
    <t>D-1-2</t>
    <phoneticPr fontId="27"/>
  </si>
  <si>
    <t>データ説明</t>
  </si>
  <si>
    <t>データタイプ</t>
  </si>
  <si>
    <t>store_id</t>
  </si>
  <si>
    <t>store_cd</t>
  </si>
  <si>
    <t>department_cd</t>
  </si>
  <si>
    <t>store_nm</t>
  </si>
  <si>
    <t>ship_to_typ</t>
  </si>
  <si>
    <t>district_typ</t>
  </si>
  <si>
    <t>sub_district_typ</t>
  </si>
  <si>
    <t>district_sub_nm</t>
  </si>
  <si>
    <t>district_depart_nm</t>
  </si>
  <si>
    <t>sv_cd</t>
  </si>
  <si>
    <t>product_id</t>
  </si>
  <si>
    <t>product_cd</t>
  </si>
  <si>
    <t>product_nm</t>
  </si>
  <si>
    <t>biz_cd</t>
  </si>
  <si>
    <t>part_no</t>
  </si>
  <si>
    <t>regi_large_class_id</t>
  </si>
  <si>
    <t>regi_large_class_cd</t>
  </si>
  <si>
    <t>regi_large_class_nm</t>
  </si>
  <si>
    <t>regi_middle_class_id</t>
  </si>
  <si>
    <t>regi_middle_class_cd</t>
  </si>
  <si>
    <t>regi_middle_class_nm</t>
  </si>
  <si>
    <t>regi_small_class_id</t>
  </si>
  <si>
    <t>regi_small_class_cd</t>
  </si>
  <si>
    <t>regi_small_class_nm</t>
  </si>
  <si>
    <t>piece_class_id</t>
  </si>
  <si>
    <t>piece_class_cd</t>
  </si>
  <si>
    <t>piece_class_nm</t>
  </si>
  <si>
    <t>qty</t>
  </si>
  <si>
    <t>pur_order_pur_unit_cost</t>
  </si>
  <si>
    <t>del_flg</t>
  </si>
  <si>
    <t>regis_pgm_cd</t>
  </si>
  <si>
    <t>regis_date</t>
  </si>
  <si>
    <t>regis_user_acct_cd</t>
  </si>
  <si>
    <t>regis_terminal_ip_addr</t>
  </si>
  <si>
    <t>regis_trn_id</t>
  </si>
  <si>
    <t>upd_pgm_cd</t>
  </si>
  <si>
    <t>upd_date</t>
  </si>
  <si>
    <t>upd_user_acct_cd</t>
  </si>
  <si>
    <t>upd_terminal_ip_addr</t>
  </si>
  <si>
    <t>upd_trn_id</t>
  </si>
  <si>
    <t>patch_id</t>
  </si>
  <si>
    <t>lock_no</t>
  </si>
  <si>
    <t>sale_typ</t>
  </si>
  <si>
    <t>forwarding_begn_date</t>
  </si>
  <si>
    <t>forwarding_finish_date</t>
  </si>
  <si>
    <t>初期データの登録</t>
    <phoneticPr fontId="1"/>
  </si>
  <si>
    <t>i1</t>
    <phoneticPr fontId="1"/>
  </si>
  <si>
    <t>BLの実行</t>
    <phoneticPr fontId="1"/>
  </si>
  <si>
    <t>i2</t>
    <phoneticPr fontId="1"/>
  </si>
  <si>
    <t>v2</t>
    <phoneticPr fontId="1"/>
  </si>
  <si>
    <t>sv_nm</t>
  </si>
  <si>
    <t>org_id</t>
  </si>
  <si>
    <t>sprt_unit_cost</t>
  </si>
  <si>
    <t>item_id</t>
  </si>
  <si>
    <t>item_cd</t>
  </si>
  <si>
    <t>item_nm</t>
  </si>
  <si>
    <t>basic_descr</t>
  </si>
  <si>
    <t>sell_unit_prc</t>
  </si>
  <si>
    <t>supplier_cd</t>
  </si>
  <si>
    <t>sply_lt</t>
  </si>
  <si>
    <t>pur_order_closing_id</t>
  </si>
  <si>
    <t>patch_date</t>
  </si>
  <si>
    <t>sale_id</t>
  </si>
  <si>
    <t>disp_begn_date</t>
  </si>
  <si>
    <t>disp_finish_date</t>
  </si>
  <si>
    <t>sale_nm</t>
  </si>
  <si>
    <t>slip_date</t>
  </si>
  <si>
    <t>deliv_abl_flg</t>
  </si>
  <si>
    <t>66</t>
  </si>
  <si>
    <t>33</t>
  </si>
  <si>
    <t>テーブル名：m_store_sale_pur_order_product</t>
  </si>
  <si>
    <t>99</t>
  </si>
  <si>
    <t>opm</t>
    <phoneticPr fontId="1"/>
  </si>
  <si>
    <t>テストNO</t>
    <phoneticPr fontId="29"/>
  </si>
  <si>
    <t>ソートキー</t>
    <phoneticPr fontId="29"/>
  </si>
  <si>
    <t>リンク</t>
    <phoneticPr fontId="29"/>
  </si>
  <si>
    <t>リンクパス</t>
    <phoneticPr fontId="29"/>
  </si>
  <si>
    <t>機能概要</t>
  </si>
  <si>
    <t>ディシジョン(BL)
ディシジョンID=D-1.ディシジョンNO=1.ディシジョン名=BL実行(店別セール発注製品マスタをTruncateで全件削除する。).ディシジョン概要=店別セール発注製品マスタ削除(Truncate)</t>
  </si>
  <si>
    <t>\var\opt\jenkins-slave\workspace\fraqta-loader-doc-pd\documents\APP-11-02.BL設計書\OPM_オペレーションマスタ\BL設計書_10283_店別セール発注製品マスタ作成.xlsx#\ディシジョンテーブル定義\!$A$5</t>
  </si>
  <si>
    <t>ディシジョン(BL)
ディシジョンID=D-2.ディシジョンNO=1.ディシジョン名=BL実行(店別セール発注製品マスタ登録).ディシジョン概要=登録条件全一致セールマスタ.最終参照可能日 = システム.業務日付-1</t>
  </si>
  <si>
    <t>\var\opt\jenkins-slave\workspace\fraqta-loader-doc-pd\documents\APP-11-02.BL設計書\OPM_オペレーションマスタ\BL設計書_10283_店別セール発注製品マスタ作成.xlsx#\ディシジョンテーブル定義\!$A$12</t>
  </si>
  <si>
    <t>ディシジョン(BL)
ディシジョンID=D-2.ディシジョンNO=2.ディシジョン名=BL実行(店別セール発注製品マスタ登録).ディシジョン概要=登録条件全一致セールマスタ.最終参照可能日 = システム.業務日付</t>
  </si>
  <si>
    <t>\var\opt\jenkins-slave\workspace\fraqta-loader-doc-pd\documents\APP-11-02.BL設計書\OPM_オペレーションマスタ\BL設計書_10283_店別セール発注製品マスタ作成.xlsx#\ディシジョンテーブル定義\!$A$13</t>
  </si>
  <si>
    <t>ディシジョン(BL)
ディシジョンID=D-2.ディシジョンNO=3.ディシジョン名=BL実行(店別セール発注製品マスタ登録).ディシジョン概要=【抽出条件不一致】セールマスタ.最終参照可能日 = システム.業務日付+1</t>
  </si>
  <si>
    <t>\var\opt\jenkins-slave\workspace\fraqta-loader-doc-pd\documents\APP-11-02.BL設計書\OPM_オペレーションマスタ\BL設計書_10283_店別セール発注製品マスタ作成.xlsx#\ディシジョンテーブル定義\!$A$14</t>
  </si>
  <si>
    <t>ディシジョン(BL)
ディシジョンID=D-2.ディシジョンNO=4.ディシジョン名=BL実行(店別セール発注製品マスタ登録).ディシジョン概要=【結合条件不一致】セールマスタ.セールIDと不一致</t>
  </si>
  <si>
    <t>\var\opt\jenkins-slave\workspace\fraqta-loader-doc-pd\documents\APP-11-02.BL設計書\OPM_オペレーションマスタ\BL設計書_10283_店別セール発注製品マスタ作成.xlsx#\ディシジョンテーブル定義\!$A$15</t>
  </si>
  <si>
    <t>ディシジョン(BL)
ディシジョンID=D-2.ディシジョンNO=5.ディシジョン名=BL実行(店別セール発注製品マスタ登録).ディシジョン概要=【結合条件不一致】セール発注製品マスタ.商品コード不一致</t>
  </si>
  <si>
    <t>\var\opt\jenkins-slave\workspace\fraqta-loader-doc-pd\documents\APP-11-02.BL設計書\OPM_オペレーションマスタ\BL設計書_10283_店別セール発注製品マスタ作成.xlsx#\ディシジョンテーブル定義\!$A$16</t>
  </si>
  <si>
    <t>ディシジョン(BL)
ディシジョンID=D-2.ディシジョンNO=6.ディシジョン名=BL実行(店別セール発注製品マスタ登録).ディシジョン概要=登録条件全一致商品マスタ.適用開始日 = セール発注製品マスタ.廻送日付開始(境界値)商品マスタ.適用終了日 = セール発注製品マスタ.廻送日付開始+1(Not境界値)</t>
  </si>
  <si>
    <t>\var\opt\jenkins-slave\workspace\fraqta-loader-doc-pd\documents\APP-11-02.BL設計書\OPM_オペレーションマスタ\BL設計書_10283_店別セール発注製品マスタ作成.xlsx#\ディシジョンテーブル定義\!$A$17</t>
  </si>
  <si>
    <t>ディシジョン(BL)
ディシジョンID=D-2.ディシジョンNO=7.ディシジョン名=BL実行(店別セール発注製品マスタ登録).ディシジョン概要=登録条件全一致商品マスタ.適用開始日 = セール発注製品マスタ.廻送日付開始-1(Not境界値)商品マスタ.適用終了日 = セール発注製品マスタ.廻送日付開始(境界値)</t>
  </si>
  <si>
    <t>\var\opt\jenkins-slave\workspace\fraqta-loader-doc-pd\documents\APP-11-02.BL設計書\OPM_オペレーションマスタ\BL設計書_10283_店別セール発注製品マスタ作成.xlsx#\ディシジョンテーブル定義\!$A$18</t>
  </si>
  <si>
    <t>ディシジョン(BL)
ディシジョンID=D-2.ディシジョンNO=8.ディシジョン名=BL実行(店別セール発注製品マスタ登録).ディシジョン概要=【結合条件不一致】商品マスタ.適用開始日 = セール発注製品マスタ.廻送日付開始+1商品マスタ.適用終了日 = セール発注製品マスタ.廻送日付開始+1</t>
  </si>
  <si>
    <t>\var\opt\jenkins-slave\workspace\fraqta-loader-doc-pd\documents\APP-11-02.BL設計書\OPM_オペレーションマスタ\BL設計書_10283_店別セール発注製品マスタ作成.xlsx#\ディシジョンテーブル定義\!$A$19</t>
  </si>
  <si>
    <t>ディシジョン(BL)
ディシジョンID=D-2.ディシジョンNO=9.ディシジョン名=BL実行(店別セール発注製品マスタ登録).ディシジョン概要=【結合条件不一致】商品マスタ.適用開始日 = セール発注製品マスタ.廻送日付開始-1商品マスタ.適用終了日 = セール発注製品マスタ.廻送日付開始-1</t>
  </si>
  <si>
    <t>\var\opt\jenkins-slave\workspace\fraqta-loader-doc-pd\documents\APP-11-02.BL設計書\OPM_オペレーションマスタ\BL設計書_10283_店別セール発注製品マスタ作成.xlsx#\ディシジョンテーブル定義\!$A$20</t>
  </si>
  <si>
    <t>ディシジョン(BL)
ディシジョンID=D-2.ディシジョンNO=10.ディシジョン名=BL実行(店別セール発注製品マスタ登録).ディシジョン概要=【結合条件不一致】[区分値.商品取扱状態区分.取扱]と不一致</t>
  </si>
  <si>
    <t>\var\opt\jenkins-slave\workspace\fraqta-loader-doc-pd\documents\APP-11-02.BL設計書\OPM_オペレーションマスタ\BL設計書_10283_店別セール発注製品マスタ作成.xlsx#\ディシジョンテーブル定義\!$A$21</t>
  </si>
  <si>
    <t>ディシジョン(BL)
ディシジョンID=D-2.ディシジョンNO=11.ディシジョン名=BL実行(店別セール発注製品マスタ登録).ディシジョン概要=【結合条件不一致】商品マスタ.商品IDと不一致</t>
  </si>
  <si>
    <t>\var\opt\jenkins-slave\workspace\fraqta-loader-doc-pd\documents\APP-11-02.BL設計書\OPM_オペレーションマスタ\BL設計書_10283_店別セール発注製品マスタ作成.xlsx#\ディシジョンテーブル定義\!$A$22</t>
  </si>
  <si>
    <t>ディシジョン(BL)
ディシジョンID=D-2.ディシジョンNO=12.ディシジョン名=BL実行(店別セール発注製品マスタ登録).ディシジョン概要=【結合条件不一致】商品マスタ.適用終了日と不一致</t>
  </si>
  <si>
    <t>\var\opt\jenkins-slave\workspace\fraqta-loader-doc-pd\documents\APP-11-02.BL設計書\OPM_オペレーションマスタ\BL設計書_10283_店別セール発注製品マスタ作成.xlsx#\ディシジョンテーブル定義\!$A$23</t>
  </si>
  <si>
    <t>ディシジョン(BL)
ディシジョンID=D-2.ディシジョンNO=13.ディシジョン名=BL実行(店別セール発注製品マスタ登録).ディシジョン概要=【結合条件不一致】[区分値.商品分類体系区分.営業商品分類]と不一致</t>
  </si>
  <si>
    <t>\var\opt\jenkins-slave\workspace\fraqta-loader-doc-pd\documents\APP-11-02.BL設計書\OPM_オペレーションマスタ\BL設計書_10283_店別セール発注製品マスタ作成.xlsx#\ディシジョンテーブル定義\!$A$24</t>
  </si>
  <si>
    <t>ディシジョン(BL)
ディシジョンID=D-2.ディシジョンNO=14.ディシジョン名=BL実行(店別セール発注製品マスタ登録).ディシジョン概要=【結合条件不一致】商品分類関連マスタ.商品分類体系区分と不一致</t>
  </si>
  <si>
    <t>\var\opt\jenkins-slave\workspace\fraqta-loader-doc-pd\documents\APP-11-02.BL設計書\OPM_オペレーションマスタ\BL設計書_10283_店別セール発注製品マスタ作成.xlsx#\ディシジョンテーブル定義\!$A$25</t>
  </si>
  <si>
    <t>ディシジョン(BL)
ディシジョンID=D-2.ディシジョンNO=15.ディシジョン名=BL実行(店別セール発注製品マスタ登録).ディシジョン概要=【結合条件不一致】商品分類関連マスタ.商品分類IDと不一致</t>
  </si>
  <si>
    <t>\var\opt\jenkins-slave\workspace\fraqta-loader-doc-pd\documents\APP-11-02.BL設計書\OPM_オペレーションマスタ\BL設計書_10283_店別セール発注製品マスタ作成.xlsx#\ディシジョンテーブル定義\!$A$26</t>
  </si>
  <si>
    <t>ディシジョン(BL)
ディシジョンID=D-2.ディシジョンNO=16.ディシジョン名=BL実行(店別セール発注製品マスタ登録).ディシジョン概要=登録条件全一致商品分類展開マスタ.適用開始日 = セール発注製品マスタ.廻送日付開始(境界値)商品分類展開マスタ.適用終了日 = セール発注製品マスタ.廻送日付開始+1(Not境界値)</t>
  </si>
  <si>
    <t>\var\opt\jenkins-slave\workspace\fraqta-loader-doc-pd\documents\APP-11-02.BL設計書\OPM_オペレーションマスタ\BL設計書_10283_店別セール発注製品マスタ作成.xlsx#\ディシジョンテーブル定義\!$A$27</t>
  </si>
  <si>
    <t>ディシジョン(BL)
ディシジョンID=D-2.ディシジョンNO=17.ディシジョン名=BL実行(店別セール発注製品マスタ登録).ディシジョン概要=登録条件全一致商品分類展開マスタ.適用開始日 = セール発注製品マスタ.廻送日付開始-1(Not境界値)商品分類展開マスタ.適用終了日 = セール発注製品マスタ.廻送日付開始(境界値)</t>
  </si>
  <si>
    <t>\var\opt\jenkins-slave\workspace\fraqta-loader-doc-pd\documents\APP-11-02.BL設計書\OPM_オペレーションマスタ\BL設計書_10283_店別セール発注製品マスタ作成.xlsx#\ディシジョンテーブル定義\!$A$28</t>
  </si>
  <si>
    <t>ディシジョン(BL)
ディシジョンID=D-2.ディシジョンNO=18.ディシジョン名=BL実行(店別セール発注製品マスタ登録).ディシジョン概要=【結合条件不一致】商品分類展開マスタ.適用開始日 = セール発注製品マスタ.廻送日付開始+1商品分類展開マスタ.適用終了日 = セール発注製品マスタ.廻送日付開始+1</t>
  </si>
  <si>
    <t>\var\opt\jenkins-slave\workspace\fraqta-loader-doc-pd\documents\APP-11-02.BL設計書\OPM_オペレーションマスタ\BL設計書_10283_店別セール発注製品マスタ作成.xlsx#\ディシジョンテーブル定義\!$A$29</t>
  </si>
  <si>
    <t>ディシジョン(BL)
ディシジョンID=D-2.ディシジョンNO=19.ディシジョン名=BL実行(店別セール発注製品マスタ登録).ディシジョン概要=【結合条件不一致】商品分類展開マスタ.適用開始日 = セール発注製品マスタ.廻送日付開始-1商品分類展開マスタ.適用終了日 = セール発注製品マスタ.廻送日付開始-1</t>
  </si>
  <si>
    <t>\var\opt\jenkins-slave\workspace\fraqta-loader-doc-pd\documents\APP-11-02.BL設計書\OPM_オペレーションマスタ\BL設計書_10283_店別セール発注製品マスタ作成.xlsx#\ディシジョンテーブル定義\!$A$30</t>
  </si>
  <si>
    <t>ディシジョン(BL)
ディシジョンID=D-2.ディシジョンNO=20.ディシジョン名=BL実行(店別セール発注製品マスタ登録).ディシジョン概要=【結合条件不一致】システム.業務日付と不一致</t>
  </si>
  <si>
    <t>\var\opt\jenkins-slave\workspace\fraqta-loader-doc-pd\documents\APP-11-02.BL設計書\OPM_オペレーションマスタ\BL設計書_10283_店別セール発注製品マスタ作成.xlsx#\ディシジョンテーブル定義\!$A$31</t>
  </si>
  <si>
    <t>ディシジョン(BL)
ディシジョンID=D-2.ディシジョンNO=21.ディシジョン名=BL実行(店別セール発注製品マスタ登録).ディシジョン概要=【結合条件不一致】商品マスタ.商品IDと不一致</t>
  </si>
  <si>
    <t>\var\opt\jenkins-slave\workspace\fraqta-loader-doc-pd\documents\APP-11-02.BL設計書\OPM_オペレーションマスタ\BL設計書_10283_店別セール発注製品マスタ作成.xlsx#\ディシジョンテーブル定義\!$A$32</t>
  </si>
  <si>
    <t>ディシジョン(BL)
ディシジョンID=D-2.ディシジョンNO=22.ディシジョン名=BL実行(店別セール発注製品マスタ登録).ディシジョン概要=【結合条件不一致】商品マスタ.適用終了日と不一致</t>
  </si>
  <si>
    <t>\var\opt\jenkins-slave\workspace\fraqta-loader-doc-pd\documents\APP-11-02.BL設計書\OPM_オペレーションマスタ\BL設計書_10283_店別セール発注製品マスタ作成.xlsx#\ディシジョンテーブル定義\!$A$33</t>
  </si>
  <si>
    <t>ディシジョン(BL)
ディシジョンID=D-2.ディシジョンNO=23.ディシジョン名=BL実行(店別セール発注製品マスタ登録).ディシジョン概要=【結合条件不一致】セール発注製品マスタ.製品IDと不一致</t>
  </si>
  <si>
    <t>\var\opt\jenkins-slave\workspace\fraqta-loader-doc-pd\documents\APP-11-02.BL設計書\OPM_オペレーションマスタ\BL設計書_10283_店別セール発注製品マスタ作成.xlsx#\ディシジョンテーブル定義\!$A$34</t>
  </si>
  <si>
    <t>ディシジョン(BL)
ディシジョンID=D-2.ディシジョンNO=24.ディシジョン名=BL実行(店別セール発注製品マスタ登録).ディシジョン概要=【結合条件不一致】セールマスタ.製品IDと不一致</t>
  </si>
  <si>
    <t>\var\opt\jenkins-slave\workspace\fraqta-loader-doc-pd\documents\APP-11-02.BL設計書\OPM_オペレーションマスタ\BL設計書_10283_店別セール発注製品マスタ作成.xlsx#\ディシジョンテーブル定義\!$A$35</t>
  </si>
  <si>
    <t>ディシジョン(BL)
ディシジョンID=D-2.ディシジョンNO=25.ディシジョン名=BL実行(店別セール発注製品マスタ登録).ディシジョン概要=登録条件全一致製品世代マスタ.適用開始日 = セール発注製品マスタ.廻送日付開始(境界値)製品世代マスタ.適用終了日 = セール発注製品マスタ.廻送日付開始+1(Not境界値)</t>
  </si>
  <si>
    <t>\var\opt\jenkins-slave\workspace\fraqta-loader-doc-pd\documents\APP-11-02.BL設計書\OPM_オペレーションマスタ\BL設計書_10283_店別セール発注製品マスタ作成.xlsx#\ディシジョンテーブル定義\!$A$36</t>
  </si>
  <si>
    <t>ディシジョン(BL)
ディシジョンID=D-2.ディシジョンNO=26.ディシジョン名=BL実行(店別セール発注製品マスタ登録).ディシジョン概要=登録条件全一致製品世代マスタ.適用開始日 = セール発注製品マスタ.廻送日付開始-1(Not境界値)製品世代マスタ.適用終了日 = セール発注製品マスタ.廻送日付開始(境界値)</t>
  </si>
  <si>
    <t>\var\opt\jenkins-slave\workspace\fraqta-loader-doc-pd\documents\APP-11-02.BL設計書\OPM_オペレーションマスタ\BL設計書_10283_店別セール発注製品マスタ作成.xlsx#\ディシジョンテーブル定義\!$A$37</t>
  </si>
  <si>
    <t>ディシジョン(BL)
ディシジョンID=D-2.ディシジョンNO=27.ディシジョン名=BL実行(店別セール発注製品マスタ登録).ディシジョン概要=【結合条件不一致】製品世代マスタ.適用開始日 = セール発注製品マスタ.廻送日付開始+1製品世代マスタ.適用終了日 = セール発注製品マスタ.廻送日付開始+1</t>
  </si>
  <si>
    <t>\var\opt\jenkins-slave\workspace\fraqta-loader-doc-pd\documents\APP-11-02.BL設計書\OPM_オペレーションマスタ\BL設計書_10283_店別セール発注製品マスタ作成.xlsx#\ディシジョンテーブル定義\!$A$38</t>
  </si>
  <si>
    <t>ディシジョン(BL)
ディシジョンID=D-2.ディシジョンNO=28.ディシジョン名=BL実行(店別セール発注製品マスタ登録).ディシジョン概要=【結合条件不一致】製品世代マスタ.適用開始日 = セール発注製品マスタ.廻送日付開始-1製品世代マスタ.適用終了日 = セール発注製品マスタ.廻送日付開始-1</t>
  </si>
  <si>
    <t>\var\opt\jenkins-slave\workspace\fraqta-loader-doc-pd\documents\APP-11-02.BL設計書\OPM_オペレーションマスタ\BL設計書_10283_店別セール発注製品マスタ作成.xlsx#\ディシジョンテーブル定義\!$A$39</t>
  </si>
  <si>
    <t>ディシジョン(BL)
ディシジョンID=D-2.ディシジョンNO=29.ディシジョン名=BL実行(店別セール発注製品マスタ登録).ディシジョン概要=【結合条件不一致】製品世代マスタ.品番 = [000]</t>
  </si>
  <si>
    <t>\var\opt\jenkins-slave\workspace\fraqta-loader-doc-pd\documents\APP-11-02.BL設計書\OPM_オペレーションマスタ\BL設計書_10283_店別セール発注製品マスタ作成.xlsx#\ディシジョンテーブル定義\!$A$40</t>
  </si>
  <si>
    <t>ディシジョン(BL)
ディシジョンID=D-2.ディシジョンNO=30.ディシジョン名=BL実行(店別セール発注製品マスタ登録).ディシジョン概要=【結合条件不一致】製品世代マスタ.業務コード = [区分値.業務コード区分.広域]</t>
  </si>
  <si>
    <t>\var\opt\jenkins-slave\workspace\fraqta-loader-doc-pd\documents\APP-11-02.BL設計書\OPM_オペレーションマスタ\BL設計書_10283_店別セール発注製品マスタ作成.xlsx#\ディシジョンテーブル定義\!$A$41</t>
  </si>
  <si>
    <t>ディシジョン(BL)
ディシジョンID=D-2.ディシジョンNO=31.ディシジョン名=BL実行(店別セール発注製品マスタ登録).ディシジョン概要=登録条件全一致仕入先マスタ.適用開始日 = セール発注製品マスタ.廻送日付開始(境界値)仕入先マスタ.適用終了日 = セール発注製品マスタ.廻送日付開始+1(Not境界値)</t>
  </si>
  <si>
    <t>\var\opt\jenkins-slave\workspace\fraqta-loader-doc-pd\documents\APP-11-02.BL設計書\OPM_オペレーションマスタ\BL設計書_10283_店別セール発注製品マスタ作成.xlsx#\ディシジョンテーブル定義\!$A$42</t>
  </si>
  <si>
    <t>ディシジョン(BL)
ディシジョンID=D-2.ディシジョンNO=32.ディシジョン名=BL実行(店別セール発注製品マスタ登録).ディシジョン概要=登録条件全一致仕入先マスタ.適用開始日 = セール発注製品マスタ.廻送日付開始-1(Not境界値)仕入先マスタ.適用終了日 = セール発注製品マスタ.廻送日付開始(境界値)</t>
  </si>
  <si>
    <t>\var\opt\jenkins-slave\workspace\fraqta-loader-doc-pd\documents\APP-11-02.BL設計書\OPM_オペレーションマスタ\BL設計書_10283_店別セール発注製品マスタ作成.xlsx#\ディシジョンテーブル定義\!$A$43</t>
  </si>
  <si>
    <t>34</t>
  </si>
  <si>
    <t>ディシジョン(BL)
ディシジョンID=D-2.ディシジョンNO=33.ディシジョン名=BL実行(店別セール発注製品マスタ登録).ディシジョン概要=【結合条件不一致】仕入先マスタ.適用開始日 = セール発注製品マスタ.廻送日付開始+1仕入先マスタ.適用終了日 = セール発注製品マスタ.廻送日付開始+1</t>
  </si>
  <si>
    <t>\var\opt\jenkins-slave\workspace\fraqta-loader-doc-pd\documents\APP-11-02.BL設計書\OPM_オペレーションマスタ\BL設計書_10283_店別セール発注製品マスタ作成.xlsx#\ディシジョンテーブル定義\!$A$44</t>
  </si>
  <si>
    <t>35</t>
  </si>
  <si>
    <t>ディシジョン(BL)
ディシジョンID=D-2.ディシジョンNO=34.ディシジョン名=BL実行(店別セール発注製品マスタ登録).ディシジョン概要=【結合条件不一致】仕入先マスタ.適用開始日 = セール発注製品マスタ.廻送日付開始-1仕入先マスタ.適用終了日 = セール発注製品マスタ.廻送日付開始-1</t>
  </si>
  <si>
    <t>\var\opt\jenkins-slave\workspace\fraqta-loader-doc-pd\documents\APP-11-02.BL設計書\OPM_オペレーションマスタ\BL設計書_10283_店別セール発注製品マスタ作成.xlsx#\ディシジョンテーブル定義\!$A$45</t>
  </si>
  <si>
    <t>36</t>
  </si>
  <si>
    <t>ディシジョン(BL)
ディシジョンID=D-2.ディシジョンNO=35.ディシジョン名=BL実行(店別セール発注製品マスタ登録).ディシジョン概要=【結合条件不一致】製品マスタ.地区区分と不一致</t>
  </si>
  <si>
    <t>\var\opt\jenkins-slave\workspace\fraqta-loader-doc-pd\documents\APP-11-02.BL設計書\OPM_オペレーションマスタ\BL設計書_10283_店別セール発注製品マスタ作成.xlsx#\ディシジョンテーブル定義\!$A$46</t>
  </si>
  <si>
    <t>37</t>
  </si>
  <si>
    <t>ディシジョン(BL)
ディシジョンID=D-2.ディシジョンNO=36.ディシジョン名=BL実行(店別セール発注製品マスタ登録).ディシジョン概要=【結合条件不一致】製品世代マスタ.業務コードと不一致</t>
  </si>
  <si>
    <t>\var\opt\jenkins-slave\workspace\fraqta-loader-doc-pd\documents\APP-11-02.BL設計書\OPM_オペレーションマスタ\BL設計書_10283_店別セール発注製品マスタ作成.xlsx#\ディシジョンテーブル定義\!$A$47</t>
  </si>
  <si>
    <t>38</t>
  </si>
  <si>
    <t>ディシジョン(BL)
ディシジョンID=D-2.ディシジョンNO=37.ディシジョン名=BL実行(店別セール発注製品マスタ登録).ディシジョン概要=【結合条件不一致】[区分値.店舗発注停止フラグ.停止しない]と不一致</t>
  </si>
  <si>
    <t>\var\opt\jenkins-slave\workspace\fraqta-loader-doc-pd\documents\APP-11-02.BL設計書\OPM_オペレーションマスタ\BL設計書_10283_店別セール発注製品マスタ作成.xlsx#\ディシジョンテーブル定義\!$A$48</t>
  </si>
  <si>
    <t>39</t>
  </si>
  <si>
    <t>ディシジョン(BL)
ディシジョンID=D-2.ディシジョンNO=38.ディシジョン名=BL実行(店別セール発注製品マスタ登録).ディシジョン概要=【結合条件不一致】仕入先マスタ.仕入先コードと不一致</t>
  </si>
  <si>
    <t>\var\opt\jenkins-slave\workspace\fraqta-loader-doc-pd\documents\APP-11-02.BL設計書\OPM_オペレーションマスタ\BL設計書_10283_店別セール発注製品マスタ作成.xlsx#\ディシジョンテーブル定義\!$A$49</t>
  </si>
  <si>
    <t>40</t>
  </si>
  <si>
    <t>ディシジョン(BL)
ディシジョンID=D-2.ディシジョンNO=39.ディシジョン名=BL実行(店別セール発注製品マスタ登録).ディシジョン概要=【結合条件不一致】セール発注製品マスタ.廻送日付開始と不一致</t>
  </si>
  <si>
    <t>\var\opt\jenkins-slave\workspace\fraqta-loader-doc-pd\documents\APP-11-02.BL設計書\OPM_オペレーションマスタ\BL設計書_10283_店別セール発注製品マスタ作成.xlsx#\ディシジョンテーブル定義\!$A$50</t>
  </si>
  <si>
    <t>41</t>
  </si>
  <si>
    <t>ディシジョン(BL)
ディシジョンID=D-2.ディシジョンNO=40.ディシジョン名=BL実行(店別セール発注製品マスタ登録).ディシジョン概要=登録条件全一致店舗マスタ.適用開始日 = セール発注製品マスタ.廻送日付開始(境界値)店舗マスタ.適用終了日 = セール発注製品マスタ.廻送日付開始+1(Not境界値)</t>
  </si>
  <si>
    <t>\var\opt\jenkins-slave\workspace\fraqta-loader-doc-pd\documents\APP-11-02.BL設計書\OPM_オペレーションマスタ\BL設計書_10283_店別セール発注製品マスタ作成.xlsx#\ディシジョンテーブル定義\!$A$51</t>
  </si>
  <si>
    <t>42</t>
  </si>
  <si>
    <t>ディシジョン(BL)
ディシジョンID=D-2.ディシジョンNO=41.ディシジョン名=BL実行(店別セール発注製品マスタ登録).ディシジョン概要=登録条件全一致店舗マスタ.適用開始日 = セール発注製品マスタ.廻送日付開始-1(Not境界値)店舗マスタ.適用終了日 = セール発注製品マスタ.廻送日付開始(境界値)</t>
  </si>
  <si>
    <t>\var\opt\jenkins-slave\workspace\fraqta-loader-doc-pd\documents\APP-11-02.BL設計書\OPM_オペレーションマスタ\BL設計書_10283_店別セール発注製品マスタ作成.xlsx#\ディシジョンテーブル定義\!$A$52</t>
  </si>
  <si>
    <t>43</t>
  </si>
  <si>
    <t>ディシジョン(BL)
ディシジョンID=D-2.ディシジョンNO=42.ディシジョン名=BL実行(店別セール発注製品マスタ登録).ディシジョン概要=【結合条件不一致】店舗マスタ.適用開始日 = セール発注製品マスタ.廻送日付開始+1店舗マスタ.適用終了日 = セール発注製品マスタ.廻送日付開始+1</t>
  </si>
  <si>
    <t>\var\opt\jenkins-slave\workspace\fraqta-loader-doc-pd\documents\APP-11-02.BL設計書\OPM_オペレーションマスタ\BL設計書_10283_店別セール発注製品マスタ作成.xlsx#\ディシジョンテーブル定義\!$A$53</t>
  </si>
  <si>
    <t>44</t>
  </si>
  <si>
    <t>ディシジョン(BL)
ディシジョンID=D-2.ディシジョンNO=43.ディシジョン名=BL実行(店別セール発注製品マスタ登録).ディシジョン概要=【結合条件不一致】店舗マスタ.適用開始日 = セール発注製品マスタ.廻送日付開始-1店舗マスタ.適用終了日 = セール発注製品マスタ.廻送日付開始-1</t>
  </si>
  <si>
    <t>\var\opt\jenkins-slave\workspace\fraqta-loader-doc-pd\documents\APP-11-02.BL設計書\OPM_オペレーションマスタ\BL設計書_10283_店別セール発注製品マスタ作成.xlsx#\ディシジョンテーブル定義\!$A$54</t>
  </si>
  <si>
    <t>45</t>
  </si>
  <si>
    <t>ディシジョン(BL)
ディシジョンID=D-2.ディシジョンNO=44.ディシジョン名=BL実行(店別セール発注製品マスタ登録).ディシジョン概要=【結合条件不一致】店舗マスタ.出荷先IDと不一致</t>
  </si>
  <si>
    <t>\var\opt\jenkins-slave\workspace\fraqta-loader-doc-pd\documents\APP-11-02.BL設計書\OPM_オペレーションマスタ\BL設計書_10283_店別セール発注製品マスタ作成.xlsx#\ディシジョンテーブル定義\!$A$55</t>
  </si>
  <si>
    <t>46</t>
  </si>
  <si>
    <t>ディシジョン(BL)
ディシジョンID=D-2.ディシジョンNO=45.ディシジョン名=BL実行(店別セール発注製品マスタ登録).ディシジョン概要=登録条件全一致出荷先世代マスタ.適用開始日 = セール発注製品マスタ.廻送日付開始(境界値)出荷先世代マスタ.適用終了日 = セール発注製品マスタ.廻送日付開始+1(Not境界値)</t>
  </si>
  <si>
    <t>\var\opt\jenkins-slave\workspace\fraqta-loader-doc-pd\documents\APP-11-02.BL設計書\OPM_オペレーションマスタ\BL設計書_10283_店別セール発注製品マスタ作成.xlsx#\ディシジョンテーブル定義\!$A$56</t>
  </si>
  <si>
    <t>47</t>
  </si>
  <si>
    <t>ディシジョン(BL)
ディシジョンID=D-2.ディシジョンNO=46.ディシジョン名=BL実行(店別セール発注製品マスタ登録).ディシジョン概要=登録条件全一致出荷先世代マスタ.適用開始日 = セール発注製品マスタ.廻送日付開始-1(Not境界値)出荷先世代マスタ.適用終了日 = セール発注製品マスタ.廻送日付開始(境界値)</t>
  </si>
  <si>
    <t>\var\opt\jenkins-slave\workspace\fraqta-loader-doc-pd\documents\APP-11-02.BL設計書\OPM_オペレーションマスタ\BL設計書_10283_店別セール発注製品マスタ作成.xlsx#\ディシジョンテーブル定義\!$A$57</t>
  </si>
  <si>
    <t>48</t>
  </si>
  <si>
    <t>ディシジョン(BL)
ディシジョンID=D-2.ディシジョンNO=47.ディシジョン名=BL実行(店別セール発注製品マスタ登録).ディシジョン概要=【結合条件不一致】出荷先世代マスタ.適用開始日 = セール発注製品マスタ.廻送日付開始+1出荷先世代マスタ.適用終了日 = セール発注製品マスタ.廻送日付開始+1</t>
  </si>
  <si>
    <t>\var\opt\jenkins-slave\workspace\fraqta-loader-doc-pd\documents\APP-11-02.BL設計書\OPM_オペレーションマスタ\BL設計書_10283_店別セール発注製品マスタ作成.xlsx#\ディシジョンテーブル定義\!$A$58</t>
  </si>
  <si>
    <t>49</t>
  </si>
  <si>
    <t>ディシジョン(BL)
ディシジョンID=D-2.ディシジョンNO=48.ディシジョン名=BL実行(店別セール発注製品マスタ登録).ディシジョン概要=【結合条件不一致】出荷先世代マスタ.適用開始日 = セール発注製品マスタ.廻送日付開始-1出荷先世代マスタ.適用終了日 = セール発注製品マスタ.廻送日付開始-1</t>
  </si>
  <si>
    <t>\var\opt\jenkins-slave\workspace\fraqta-loader-doc-pd\documents\APP-11-02.BL設計書\OPM_オペレーションマスタ\BL設計書_10283_店別セール発注製品マスタ作成.xlsx#\ディシジョンテーブル定義\!$A$59</t>
  </si>
  <si>
    <t>50</t>
  </si>
  <si>
    <t>ディシジョン(BL)
ディシジョンID=D-2.ディシジョンNO=49.ディシジョン名=BL実行(店別セール発注製品マスタ登録).ディシジョン概要=【結合条件不一致】製品マスタ.地区区分と不一致</t>
  </si>
  <si>
    <t>\var\opt\jenkins-slave\workspace\fraqta-loader-doc-pd\documents\APP-11-02.BL設計書\OPM_オペレーションマスタ\BL設計書_10283_店別セール発注製品マスタ作成.xlsx#\ディシジョンテーブル定義\!$A$60</t>
  </si>
  <si>
    <t>51</t>
  </si>
  <si>
    <t>ディシジョン(BL)
ディシジョンID=D-2.ディシジョンNO=50.ディシジョン名=BL実行(店別セール発注製品マスタ登録).ディシジョン概要=【設定値条件】製品世代マスタ.取扱フラグ(1桁目) = {Qt}2{Qt}</t>
  </si>
  <si>
    <t>\var\opt\jenkins-slave\workspace\fraqta-loader-doc-pd\documents\APP-11-02.BL設計書\OPM_オペレーションマスタ\BL設計書_10283_店別セール発注製品マスタ作成.xlsx#\ディシジョンテーブル定義\!$A$61</t>
  </si>
  <si>
    <t>52</t>
  </si>
  <si>
    <t>ディシジョン(BL)
ディシジョンID=D-2.ディシジョンNO=51.ディシジョン名=BL実行(店別セール発注製品マスタ登録).ディシジョン概要=【結合条件不一致】製品世代マスタ.取扱フラグ(1桁目) = {Qt}1{Qt}出荷先世代マスタ.取扱フラグ(1桁目) = {Qt}2{Qt}</t>
  </si>
  <si>
    <t>\var\opt\jenkins-slave\workspace\fraqta-loader-doc-pd\documents\APP-11-02.BL設計書\OPM_オペレーションマスタ\BL設計書_10283_店別セール発注製品マスタ作成.xlsx#\ディシジョンテーブル定義\!$A$62</t>
  </si>
  <si>
    <t>53</t>
  </si>
  <si>
    <t>ディシジョン(BL)
ディシジョンID=D-2.ディシジョンNO=52.ディシジョン名=BL実行(店別セール発注製品マスタ登録).ディシジョン概要=【設定値条件】製品世代マスタ.取扱フラグ(2桁目) = {Qt}2{Qt}</t>
  </si>
  <si>
    <t>\var\opt\jenkins-slave\workspace\fraqta-loader-doc-pd\documents\APP-11-02.BL設計書\OPM_オペレーションマスタ\BL設計書_10283_店別セール発注製品マスタ作成.xlsx#\ディシジョンテーブル定義\!$A$63</t>
  </si>
  <si>
    <t>54</t>
  </si>
  <si>
    <t>ディシジョン(BL)
ディシジョンID=D-2.ディシジョンNO=53.ディシジョン名=BL実行(店別セール発注製品マスタ登録).ディシジョン概要=【結合条件不一致】製品世代マスタ.取扱フラグ(2桁目) = {Qt}1{Qt}出荷先世代マスタ.取扱フラグ(2桁目) = {Qt}2{Qt}</t>
  </si>
  <si>
    <t>\var\opt\jenkins-slave\workspace\fraqta-loader-doc-pd\documents\APP-11-02.BL設計書\OPM_オペレーションマスタ\BL設計書_10283_店別セール発注製品マスタ作成.xlsx#\ディシジョンテーブル定義\!$A$64</t>
  </si>
  <si>
    <t>55</t>
  </si>
  <si>
    <t>ディシジョン(BL)
ディシジョンID=D-2.ディシジョンNO=54.ディシジョン名=BL実行(店別セール発注製品マスタ登録).ディシジョン概要=【設定値条件】製品世代マスタ.取扱フラグ(3桁目) = {Qt}2{Qt}</t>
  </si>
  <si>
    <t>\var\opt\jenkins-slave\workspace\fraqta-loader-doc-pd\documents\APP-11-02.BL設計書\OPM_オペレーションマスタ\BL設計書_10283_店別セール発注製品マスタ作成.xlsx#\ディシジョンテーブル定義\!$A$65</t>
  </si>
  <si>
    <t>56</t>
  </si>
  <si>
    <t>ディシジョン(BL)
ディシジョンID=D-2.ディシジョンNO=55.ディシジョン名=BL実行(店別セール発注製品マスタ登録).ディシジョン概要=【結合条件不一致】製品世代マスタ.取扱フラグ(3桁目) = {Qt}1{Qt}出荷先世代マスタ.取扱フラグ(3桁目) = {Qt}2{Qt}</t>
  </si>
  <si>
    <t>\var\opt\jenkins-slave\workspace\fraqta-loader-doc-pd\documents\APP-11-02.BL設計書\OPM_オペレーションマスタ\BL設計書_10283_店別セール発注製品マスタ作成.xlsx#\ディシジョンテーブル定義\!$A$66</t>
  </si>
  <si>
    <t>57</t>
  </si>
  <si>
    <t>ディシジョン(BL)
ディシジョンID=D-2.ディシジョンNO=56.ディシジョン名=BL実行(店別セール発注製品マスタ登録).ディシジョン概要=【設定値条件】製品世代マスタ.取扱フラグ(4桁目) = {Qt}2{Qt}</t>
  </si>
  <si>
    <t>\var\opt\jenkins-slave\workspace\fraqta-loader-doc-pd\documents\APP-11-02.BL設計書\OPM_オペレーションマスタ\BL設計書_10283_店別セール発注製品マスタ作成.xlsx#\ディシジョンテーブル定義\!$A$67</t>
  </si>
  <si>
    <t>58</t>
  </si>
  <si>
    <t>ディシジョン(BL)
ディシジョンID=D-2.ディシジョンNO=57.ディシジョン名=BL実行(店別セール発注製品マスタ登録).ディシジョン概要=【結合条件不一致】製品世代マスタ.取扱フラグ(4桁目) = {Qt}1{Qt}出荷先世代マスタ.取扱フラグ(4桁目) = {Qt}2{Qt}</t>
  </si>
  <si>
    <t>\var\opt\jenkins-slave\workspace\fraqta-loader-doc-pd\documents\APP-11-02.BL設計書\OPM_オペレーションマスタ\BL設計書_10283_店別セール発注製品マスタ作成.xlsx#\ディシジョンテーブル定義\!$A$68</t>
  </si>
  <si>
    <t>59</t>
  </si>
  <si>
    <t>ディシジョン(BL)
ディシジョンID=D-2.ディシジョンNO=58.ディシジョン名=BL実行(店別セール発注製品マスタ登録).ディシジョン概要=【設定値条件】製品世代マスタ.取扱フラグ(5桁目) = {Qt}2{Qt}</t>
  </si>
  <si>
    <t>\var\opt\jenkins-slave\workspace\fraqta-loader-doc-pd\documents\APP-11-02.BL設計書\OPM_オペレーションマスタ\BL設計書_10283_店別セール発注製品マスタ作成.xlsx#\ディシジョンテーブル定義\!$A$69</t>
  </si>
  <si>
    <t>60</t>
  </si>
  <si>
    <t>ディシジョン(BL)
ディシジョンID=D-2.ディシジョンNO=59.ディシジョン名=BL実行(店別セール発注製品マスタ登録).ディシジョン概要=【結合条件不一致】製品世代マスタ.取扱フラグ(5桁目) = {Qt}1{Qt}出荷先世代マスタ.取扱フラグ(5桁目) = {Qt}2{Qt}</t>
  </si>
  <si>
    <t>\var\opt\jenkins-slave\workspace\fraqta-loader-doc-pd\documents\APP-11-02.BL設計書\OPM_オペレーションマスタ\BL設計書_10283_店別セール発注製品マスタ作成.xlsx#\ディシジョンテーブル定義\!$A$70</t>
  </si>
  <si>
    <t>61</t>
  </si>
  <si>
    <t>ディシジョン(BL)
ディシジョンID=D-2.ディシジョンNO=60.ディシジョン名=BL実行(店別セール発注製品マスタ登録).ディシジョン概要=【設定値条件】製品世代マスタ.取扱フラグ(6桁目) = {Qt}2{Qt}</t>
  </si>
  <si>
    <t>\var\opt\jenkins-slave\workspace\fraqta-loader-doc-pd\documents\APP-11-02.BL設計書\OPM_オペレーションマスタ\BL設計書_10283_店別セール発注製品マスタ作成.xlsx#\ディシジョンテーブル定義\!$A$71</t>
  </si>
  <si>
    <t>62</t>
  </si>
  <si>
    <t>ディシジョン(BL)
ディシジョンID=D-2.ディシジョンNO=61.ディシジョン名=BL実行(店別セール発注製品マスタ登録).ディシジョン概要=【結合条件不一致】製品世代マスタ.取扱フラグ(6桁目) = {Qt}1{Qt}出荷先世代マスタ.取扱フラグ(6桁目) = {Qt}2{Qt}</t>
  </si>
  <si>
    <t>\var\opt\jenkins-slave\workspace\fraqta-loader-doc-pd\documents\APP-11-02.BL設計書\OPM_オペレーションマスタ\BL設計書_10283_店別セール発注製品マスタ作成.xlsx#\ディシジョンテーブル定義\!$A$72</t>
  </si>
  <si>
    <t>63</t>
  </si>
  <si>
    <t>ディシジョン(BL)
ディシジョンID=D-2.ディシジョンNO=62.ディシジョン名=BL実行(店別セール発注製品マスタ登録).ディシジョン概要=【設定値条件】製品世代マスタ.取扱フラグ(7桁目) = {Qt}2{Qt}</t>
  </si>
  <si>
    <t>\var\opt\jenkins-slave\workspace\fraqta-loader-doc-pd\documents\APP-11-02.BL設計書\OPM_オペレーションマスタ\BL設計書_10283_店別セール発注製品マスタ作成.xlsx#\ディシジョンテーブル定義\!$A$73</t>
  </si>
  <si>
    <t>64</t>
  </si>
  <si>
    <t>ディシジョン(BL)
ディシジョンID=D-2.ディシジョンNO=63.ディシジョン名=BL実行(店別セール発注製品マスタ登録).ディシジョン概要=【結合条件不一致】製品世代マスタ.取扱フラグ(7桁目) = {Qt}1{Qt}出荷先世代マスタ.取扱フラグ(7桁目) = {Qt}2{Qt}</t>
  </si>
  <si>
    <t>\var\opt\jenkins-slave\workspace\fraqta-loader-doc-pd\documents\APP-11-02.BL設計書\OPM_オペレーションマスタ\BL設計書_10283_店別セール発注製品マスタ作成.xlsx#\ディシジョンテーブル定義\!$A$74</t>
  </si>
  <si>
    <t>65</t>
  </si>
  <si>
    <t>ディシジョン(BL)
ディシジョンID=D-2.ディシジョンNO=64.ディシジョン名=BL実行(店別セール発注製品マスタ登録).ディシジョン概要=【設定値条件】製品世代マスタ.取扱フラグ(8桁目) = {Qt}2{Qt}</t>
  </si>
  <si>
    <t>\var\opt\jenkins-slave\workspace\fraqta-loader-doc-pd\documents\APP-11-02.BL設計書\OPM_オペレーションマスタ\BL設計書_10283_店別セール発注製品マスタ作成.xlsx#\ディシジョンテーブル定義\!$A$75</t>
  </si>
  <si>
    <t>ディシジョン(BL)
ディシジョンID=D-2.ディシジョンNO=65.ディシジョン名=BL実行(店別セール発注製品マスタ登録).ディシジョン概要=【結合条件不一致】製品世代マスタ.取扱フラグ(8桁目) = {Qt}1{Qt}出荷先世代マスタ.取扱フラグ(8桁目) = {Qt}2{Qt}</t>
  </si>
  <si>
    <t>\var\opt\jenkins-slave\workspace\fraqta-loader-doc-pd\documents\APP-11-02.BL設計書\OPM_オペレーションマスタ\BL設計書_10283_店別セール発注製品マスタ作成.xlsx#\ディシジョンテーブル定義\!$A$76</t>
  </si>
  <si>
    <t>67</t>
  </si>
  <si>
    <t>ディシジョン(BL)
ディシジョンID=D-2.ディシジョンNO=66.ディシジョン名=BL実行(店別セール発注製品マスタ登録).ディシジョン概要=【設定値条件】製品世代マスタ.取扱フラグ(17桁目) = {Qt}2{Qt}</t>
  </si>
  <si>
    <t>\var\opt\jenkins-slave\workspace\fraqta-loader-doc-pd\documents\APP-11-02.BL設計書\OPM_オペレーションマスタ\BL設計書_10283_店別セール発注製品マスタ作成.xlsx#\ディシジョンテーブル定義\!$A$77</t>
  </si>
  <si>
    <t>68</t>
  </si>
  <si>
    <t>ディシジョン(BL)
ディシジョンID=D-2.ディシジョンNO=67.ディシジョン名=BL実行(店別セール発注製品マスタ登録).ディシジョン概要=【結合条件不一致】製品世代マスタ.取扱フラグ(17桁目) = {Qt}1{Qt}出荷先世代マスタ.取扱フラグ(17桁目) = {Qt}2{Qt}</t>
  </si>
  <si>
    <t>\var\opt\jenkins-slave\workspace\fraqta-loader-doc-pd\documents\APP-11-02.BL設計書\OPM_オペレーションマスタ\BL設計書_10283_店別セール発注製品マスタ作成.xlsx#\ディシジョンテーブル定義\!$A$78</t>
  </si>
  <si>
    <t>69</t>
  </si>
  <si>
    <t>ディシジョン(BL)
ディシジョンID=D-2.ディシジョンNO=68.ディシジョン名=BL実行(店別セール発注製品マスタ登録).ディシジョン概要=【設定値条件】製品世代マスタ.取扱フラグ(18桁目) = {Qt}2{Qt}</t>
  </si>
  <si>
    <t>\var\opt\jenkins-slave\workspace\fraqta-loader-doc-pd\documents\APP-11-02.BL設計書\OPM_オペレーションマスタ\BL設計書_10283_店別セール発注製品マスタ作成.xlsx#\ディシジョンテーブル定義\!$A$79</t>
  </si>
  <si>
    <t>70</t>
  </si>
  <si>
    <t>ディシジョン(BL)
ディシジョンID=D-2.ディシジョンNO=69.ディシジョン名=BL実行(店別セール発注製品マスタ登録).ディシジョン概要=【結合条件不一致】製品世代マスタ.取扱フラグ(18桁目) = {Qt}1{Qt}出荷先世代マスタ.取扱フラグ(18桁目) = {Qt}2{Qt}</t>
  </si>
  <si>
    <t>\var\opt\jenkins-slave\workspace\fraqta-loader-doc-pd\documents\APP-11-02.BL設計書\OPM_オペレーションマスタ\BL設計書_10283_店別セール発注製品マスタ作成.xlsx#\ディシジョンテーブル定義\!$A$80</t>
  </si>
  <si>
    <t>71</t>
  </si>
  <si>
    <t>ディシジョン(BL)
ディシジョンID=D-2.ディシジョンNO=70.ディシジョン名=BL実行(店別セール発注製品マスタ登録).ディシジョン概要=【設定値条件】製品世代マスタ.取扱フラグ(19桁目) = {Qt}2{Qt}</t>
  </si>
  <si>
    <t>\var\opt\jenkins-slave\workspace\fraqta-loader-doc-pd\documents\APP-11-02.BL設計書\OPM_オペレーションマスタ\BL設計書_10283_店別セール発注製品マスタ作成.xlsx#\ディシジョンテーブル定義\!$A$81</t>
  </si>
  <si>
    <t>72</t>
  </si>
  <si>
    <t>ディシジョン(BL)
ディシジョンID=D-2.ディシジョンNO=71.ディシジョン名=BL実行(店別セール発注製品マスタ登録).ディシジョン概要=【結合条件不一致】製品世代マスタ.取扱フラグ(19桁目) = {Qt}1{Qt}出荷先世代マスタ.取扱フラグ(19桁目) = {Qt}2{Qt}</t>
  </si>
  <si>
    <t>\var\opt\jenkins-slave\workspace\fraqta-loader-doc-pd\documents\APP-11-02.BL設計書\OPM_オペレーションマスタ\BL設計書_10283_店別セール発注製品マスタ作成.xlsx#\ディシジョンテーブル定義\!$A$82</t>
  </si>
  <si>
    <t>73</t>
  </si>
  <si>
    <t>ディシジョン(BL)
ディシジョンID=D-2.ディシジョンNO=72.ディシジョン名=BL実行(店別セール発注製品マスタ登録).ディシジョン概要=【設定値条件】製品世代マスタ.取扱フラグ(20桁目) = {Qt}2{Qt}</t>
  </si>
  <si>
    <t>\var\opt\jenkins-slave\workspace\fraqta-loader-doc-pd\documents\APP-11-02.BL設計書\OPM_オペレーションマスタ\BL設計書_10283_店別セール発注製品マスタ作成.xlsx#\ディシジョンテーブル定義\!$A$83</t>
  </si>
  <si>
    <t>74</t>
  </si>
  <si>
    <t>ディシジョン(BL)
ディシジョンID=D-2.ディシジョンNO=73.ディシジョン名=BL実行(店別セール発注製品マスタ登録).ディシジョン概要=【結合条件不一致】製品世代マスタ.取扱フラグ(20桁目) = {Qt}1{Qt}出荷先世代マスタ.取扱フラグ(20桁目) = {Qt}2{Qt}</t>
  </si>
  <si>
    <t>\var\opt\jenkins-slave\workspace\fraqta-loader-doc-pd\documents\APP-11-02.BL設計書\OPM_オペレーションマスタ\BL設計書_10283_店別セール発注製品マスタ作成.xlsx#\ディシジョンテーブル定義\!$A$84</t>
  </si>
  <si>
    <t>75</t>
  </si>
  <si>
    <t>ディシジョン(BL)
ディシジョンID=D-2.ディシジョンNO=74.ディシジョン名=BL実行(店別セール発注製品マスタ登録).ディシジョン概要=【設定値条件】製品世代マスタ.取扱フラグ(21桁目) = {Qt}2{Qt}</t>
  </si>
  <si>
    <t>\var\opt\jenkins-slave\workspace\fraqta-loader-doc-pd\documents\APP-11-02.BL設計書\OPM_オペレーションマスタ\BL設計書_10283_店別セール発注製品マスタ作成.xlsx#\ディシジョンテーブル定義\!$A$85</t>
  </si>
  <si>
    <t>76</t>
  </si>
  <si>
    <t>ディシジョン(BL)
ディシジョンID=D-2.ディシジョンNO=75.ディシジョン名=BL実行(店別セール発注製品マスタ登録).ディシジョン概要=【結合条件不一致】製品世代マスタ.取扱フラグ(21桁目) = {Qt}1{Qt}出荷先世代マスタ.取扱フラグ(21桁目) = {Qt}2{Qt}</t>
  </si>
  <si>
    <t>\var\opt\jenkins-slave\workspace\fraqta-loader-doc-pd\documents\APP-11-02.BL設計書\OPM_オペレーションマスタ\BL設計書_10283_店別セール発注製品マスタ作成.xlsx#\ディシジョンテーブル定義\!$A$86</t>
  </si>
  <si>
    <t>77</t>
  </si>
  <si>
    <t>ディシジョン(BL)
ディシジョンID=D-2.ディシジョンNO=76.ディシジョン名=BL実行(店別セール発注製品マスタ登録).ディシジョン概要=【設定値条件】製品世代マスタ.取扱フラグ(22桁目) = {Qt}2{Qt}</t>
  </si>
  <si>
    <t>\var\opt\jenkins-slave\workspace\fraqta-loader-doc-pd\documents\APP-11-02.BL設計書\OPM_オペレーションマスタ\BL設計書_10283_店別セール発注製品マスタ作成.xlsx#\ディシジョンテーブル定義\!$A$87</t>
  </si>
  <si>
    <t>78</t>
  </si>
  <si>
    <t>ディシジョン(BL)
ディシジョンID=D-2.ディシジョンNO=77.ディシジョン名=BL実行(店別セール発注製品マスタ登録).ディシジョン概要=【結合条件不一致】製品世代マスタ.取扱フラグ(22桁目) = {Qt}1{Qt}出荷先世代マスタ.取扱フラグ(22桁目) = {Qt}2{Qt}</t>
  </si>
  <si>
    <t>\var\opt\jenkins-slave\workspace\fraqta-loader-doc-pd\documents\APP-11-02.BL設計書\OPM_オペレーションマスタ\BL設計書_10283_店別セール発注製品マスタ作成.xlsx#\ディシジョンテーブル定義\!$A$88</t>
  </si>
  <si>
    <t>79</t>
  </si>
  <si>
    <t>ディシジョン(BL)
ディシジョンID=D-2.ディシジョンNO=78.ディシジョン名=BL実行(店別セール発注製品マスタ登録).ディシジョン概要=【設定値条件】製品世代マスタ.取扱フラグ(23桁目) = {Qt}2{Qt}</t>
  </si>
  <si>
    <t>\var\opt\jenkins-slave\workspace\fraqta-loader-doc-pd\documents\APP-11-02.BL設計書\OPM_オペレーションマスタ\BL設計書_10283_店別セール発注製品マスタ作成.xlsx#\ディシジョンテーブル定義\!$A$89</t>
  </si>
  <si>
    <t>80</t>
  </si>
  <si>
    <t>ディシジョン(BL)
ディシジョンID=D-2.ディシジョンNO=79.ディシジョン名=BL実行(店別セール発注製品マスタ登録).ディシジョン概要=【結合条件不一致】製品世代マスタ.取扱フラグ(23桁目) = {Qt}1{Qt}出荷先世代マスタ.取扱フラグ(23桁目) = {Qt}2{Qt}</t>
  </si>
  <si>
    <t>\var\opt\jenkins-slave\workspace\fraqta-loader-doc-pd\documents\APP-11-02.BL設計書\OPM_オペレーションマスタ\BL設計書_10283_店別セール発注製品マスタ作成.xlsx#\ディシジョンテーブル定義\!$A$90</t>
  </si>
  <si>
    <t>81</t>
  </si>
  <si>
    <t>ディシジョン(BL)
ディシジョンID=D-2.ディシジョンNO=80.ディシジョン名=BL実行(店別セール発注製品マスタ登録).ディシジョン概要=【設定値条件】製品世代マスタ.取扱フラグ(24桁目) = {Qt}2{Qt}</t>
  </si>
  <si>
    <t>\var\opt\jenkins-slave\workspace\fraqta-loader-doc-pd\documents\APP-11-02.BL設計書\OPM_オペレーションマスタ\BL設計書_10283_店別セール発注製品マスタ作成.xlsx#\ディシジョンテーブル定義\!$A$91</t>
  </si>
  <si>
    <t>82</t>
  </si>
  <si>
    <t>ディシジョン(BL)
ディシジョンID=D-2.ディシジョンNO=81.ディシジョン名=BL実行(店別セール発注製品マスタ登録).ディシジョン概要=【結合条件不一致】製品世代マスタ.取扱フラグ(24桁目) = {Qt}1{Qt}出荷先世代マスタ.取扱フラグ(24桁目) = {Qt}2{Qt}</t>
  </si>
  <si>
    <t>83</t>
  </si>
  <si>
    <t>ディシジョン(BL)
ディシジョンID=D-2.ディシジョンNO=82.ディシジョン名=BL実行(店別セール発注製品マスタ登録).ディシジョン概要=【結合条件不一致】店舗マスタ.レジデータ店舗IDと不一致</t>
  </si>
  <si>
    <t>\var\opt\jenkins-slave\workspace\fraqta-loader-doc-pd\documents\APP-11-02.BL設計書\OPM_オペレーションマスタ\BL設計書_10283_店別セール発注製品マスタ作成.xlsx#\ディシジョンテーブル定義\!$A$93</t>
  </si>
  <si>
    <t>84</t>
  </si>
  <si>
    <t>ディシジョン(BL)
ディシジョンID=D-2.ディシジョンNO=83.ディシジョン名=BL実行(店別セール発注製品マスタ登録).ディシジョン概要=登録条件全一致レジデータ店舗マスタ.適用開始日 = セール発注製品マスタ.廻送日付開始(境界値)レジデータ店舗マスタ.適用終了日 = セール発注製品マスタ.廻送日付開始+1(Not境界値)</t>
  </si>
  <si>
    <t>\var\opt\jenkins-slave\workspace\fraqta-loader-doc-pd\documents\APP-11-02.BL設計書\OPM_オペレーションマスタ\BL設計書_10283_店別セール発注製品マスタ作成.xlsx#\ディシジョンテーブル定義\!$A$94</t>
  </si>
  <si>
    <t>85</t>
  </si>
  <si>
    <t>ディシジョン(BL)
ディシジョンID=D-2.ディシジョンNO=84.ディシジョン名=BL実行(店別セール発注製品マスタ登録).ディシジョン概要=登録条件全一致レジデータ店舗マスタ.適用開始日 = セール発注製品マスタ.廻送日付開始-1(Not境界値)レジデータ店舗マスタ.適用終了日 = セール発注製品マスタ.廻送日付開始(境界値)</t>
  </si>
  <si>
    <t>\var\opt\jenkins-slave\workspace\fraqta-loader-doc-pd\documents\APP-11-02.BL設計書\OPM_オペレーションマスタ\BL設計書_10283_店別セール発注製品マスタ作成.xlsx#\ディシジョンテーブル定義\!$A$95</t>
  </si>
  <si>
    <t>86</t>
  </si>
  <si>
    <t>ディシジョン(BL)
ディシジョンID=D-2.ディシジョンNO=85.ディシジョン名=BL実行(店別セール発注製品マスタ登録).ディシジョン概要=【結合条件不一致】レジデータ店舗マスタ.適用開始日 = セール発注製品マスタ.廻送日付開始+1レジデータ店舗マスタ.適用終了日 = セール発注製品マスタ.廻送日付開始+1</t>
  </si>
  <si>
    <t>\var\opt\jenkins-slave\workspace\fraqta-loader-doc-pd\documents\APP-11-02.BL設計書\OPM_オペレーションマスタ\BL設計書_10283_店別セール発注製品マスタ作成.xlsx#\ディシジョンテーブル定義\!$A$96</t>
  </si>
  <si>
    <t>87</t>
  </si>
  <si>
    <t>ディシジョン(BL)
ディシジョンID=D-2.ディシジョンNO=86.ディシジョン名=BL実行(店別セール発注製品マスタ登録).ディシジョン概要=【結合条件不一致】レジデータ店舗マスタ.適用開始日 = セール発注製品マスタ.廻送日付開始-1レジデータ店舗マスタ.適用終了日 = セール発注製品マスタ.廻送日付開始-1</t>
  </si>
  <si>
    <t>\var\opt\jenkins-slave\workspace\fraqta-loader-doc-pd\documents\APP-11-02.BL設計書\OPM_オペレーションマスタ\BL設計書_10283_店別セール発注製品マスタ作成.xlsx#\ディシジョンテーブル定義\!$A$97</t>
  </si>
  <si>
    <t>88</t>
  </si>
  <si>
    <t>ディシジョン(BL)
ディシジョンID=D-2.ディシジョンNO=87.ディシジョン名=BL実行(店別セール発注製品マスタ登録).ディシジョン概要=【結合条件不一致】店舗マスタ.計上先組織IDと不一致</t>
  </si>
  <si>
    <t>\var\opt\jenkins-slave\workspace\fraqta-loader-doc-pd\documents\APP-11-02.BL設計書\OPM_オペレーションマスタ\BL設計書_10283_店別セール発注製品マスタ作成.xlsx#\ディシジョンテーブル定義\!$A$98</t>
  </si>
  <si>
    <t>89</t>
  </si>
  <si>
    <t>ディシジョン(BL)
ディシジョンID=D-2.ディシジョンNO=88.ディシジョン名=BL実行(店別セール発注製品マスタ登録).ディシジョン概要=登録条件全一致組織マスタ.適用開始日 = セール発注製品マスタ.廻送日付開始(境界値)組織マスタ.適用終了日 = セール発注製品マスタ.廻送日付開始+1(Not境界値)</t>
  </si>
  <si>
    <t>\var\opt\jenkins-slave\workspace\fraqta-loader-doc-pd\documents\APP-11-02.BL設計書\OPM_オペレーションマスタ\BL設計書_10283_店別セール発注製品マスタ作成.xlsx#\ディシジョンテーブル定義\!$A$99</t>
  </si>
  <si>
    <t>90</t>
  </si>
  <si>
    <t>ディシジョン(BL)
ディシジョンID=D-2.ディシジョンNO=89.ディシジョン名=BL実行(店別セール発注製品マスタ登録).ディシジョン概要=登録条件全一致組織マスタ.適用開始日 = セール発注製品マスタ.廻送日付開始-1(Not境界値)組織マスタ.適用終了日 = セール発注製品マスタ.廻送日付開始(境界値)</t>
  </si>
  <si>
    <t>\var\opt\jenkins-slave\workspace\fraqta-loader-doc-pd\documents\APP-11-02.BL設計書\OPM_オペレーションマスタ\BL設計書_10283_店別セール発注製品マスタ作成.xlsx#\ディシジョンテーブル定義\!$A$100</t>
  </si>
  <si>
    <t>91</t>
  </si>
  <si>
    <t>ディシジョン(BL)
ディシジョンID=D-2.ディシジョンNO=90.ディシジョン名=BL実行(店別セール発注製品マスタ登録).ディシジョン概要=【結合条件不一致】組織マスタ.適用開始日 = セール発注製品マスタ.廻送日付開始+1組織マスタ.適用終了日 = セール発注製品マスタ.廻送日付開始+1</t>
  </si>
  <si>
    <t>\var\opt\jenkins-slave\workspace\fraqta-loader-doc-pd\documents\APP-11-02.BL設計書\OPM_オペレーションマスタ\BL設計書_10283_店別セール発注製品マスタ作成.xlsx#\ディシジョンテーブル定義\!$A$101</t>
  </si>
  <si>
    <t>92</t>
  </si>
  <si>
    <t>ディシジョン(BL)
ディシジョンID=D-2.ディシジョンNO=91.ディシジョン名=BL実行(店別セール発注製品マスタ登録).ディシジョン概要=【結合条件不一致】組織マスタ.適用開始日 = セール発注製品マスタ.廻送日付開始-1組織マスタ.適用終了日 = セール発注製品マスタ.廻送日付開始-1</t>
  </si>
  <si>
    <t>\var\opt\jenkins-slave\workspace\fraqta-loader-doc-pd\documents\APP-11-02.BL設計書\OPM_オペレーションマスタ\BL設計書_10283_店別セール発注製品マスタ作成.xlsx#\ディシジョンテーブル定義\!$A$102</t>
  </si>
  <si>
    <t>93</t>
  </si>
  <si>
    <t>ディシジョン(BL)
ディシジョンID=D-2.ディシジョンNO=92.ディシジョン名=BL実行(店別セール発注製品マスタ登録).ディシジョン概要=【結合条件不一致】店舗形態別商品販売条件マスタ.店舗形態コードと不一致</t>
  </si>
  <si>
    <t>\var\opt\jenkins-slave\workspace\fraqta-loader-doc-pd\documents\APP-11-02.BL設計書\OPM_オペレーションマスタ\BL設計書_10283_店別セール発注製品マスタ作成.xlsx#\ディシジョンテーブル定義\!$A$103</t>
  </si>
  <si>
    <t>94</t>
  </si>
  <si>
    <t>ディシジョン(BL)
ディシジョンID=D-2.ディシジョンNO=93.ディシジョン名=BL実行(店別セール発注製品マスタ登録).ディシジョン概要=【結合条件不一致】[区分値.組織廃止フラグ.活動中]と不一致</t>
  </si>
  <si>
    <t>\var\opt\jenkins-slave\workspace\fraqta-loader-doc-pd\documents\APP-11-02.BL設計書\OPM_オペレーションマスタ\BL設計書_10283_店別セール発注製品マスタ作成.xlsx#\ディシジョンテーブル定義\!$A$104</t>
  </si>
  <si>
    <t>95</t>
  </si>
  <si>
    <t>ディシジョン(BL)
ディシジョンID=D-2.ディシジョンNO=94.ディシジョン名=BL実行(店別セール発注製品マスタ登録).ディシジョン概要=【設定値条件】出荷先世代.納品単価区分 = [区分値.納品単価区分.直営]</t>
  </si>
  <si>
    <t>\var\opt\jenkins-slave\workspace\fraqta-loader-doc-pd\documents\APP-11-02.BL設計書\OPM_オペレーションマスタ\BL設計書_10283_店別セール発注製品マスタ作成.xlsx#\ディシジョンテーブル定義\!$A$105</t>
  </si>
  <si>
    <t>96</t>
  </si>
  <si>
    <t>ディシジョン(BL)
ディシジョンID=D-2.ディシジョンNO=95.ディシジョン名=BL実行(店別セール発注製品マスタ登録).ディシジョン概要=【設定値条件】出荷先世代.納品単価区分 = [区分値.納品単価区分.FC0]</t>
  </si>
  <si>
    <t>\var\opt\jenkins-slave\workspace\fraqta-loader-doc-pd\documents\APP-11-02.BL設計書\OPM_オペレーションマスタ\BL設計書_10283_店別セール発注製品マスタ作成.xlsx#\ディシジョンテーブル定義\!$A$106</t>
  </si>
  <si>
    <t>97</t>
  </si>
  <si>
    <t>ディシジョン(BL)
ディシジョンID=D-2.ディシジョンNO=96.ディシジョン名=BL実行(店別セール発注製品マスタ登録).ディシジョン概要=【設定値条件】出荷先世代.納品単価区分 = [区分値.納品単価区分.FC1]</t>
  </si>
  <si>
    <t>\var\opt\jenkins-slave\workspace\fraqta-loader-doc-pd\documents\APP-11-02.BL設計書\OPM_オペレーションマスタ\BL設計書_10283_店別セール発注製品マスタ作成.xlsx#\ディシジョンテーブル定義\!$A$107</t>
  </si>
  <si>
    <t>98</t>
  </si>
  <si>
    <t>ディシジョン(BL)
ディシジョンID=D-2.ディシジョンNO=97.ディシジョン名=BL実行(店別セール発注製品マスタ登録).ディシジョン概要=【設定値条件】出荷先世代.納品単価区分 = [区分値.納品単価区分.FC2]</t>
  </si>
  <si>
    <t>\var\opt\jenkins-slave\workspace\fraqta-loader-doc-pd\documents\APP-11-02.BL設計書\OPM_オペレーションマスタ\BL設計書_10283_店別セール発注製品マスタ作成.xlsx#\ディシジョンテーブル定義\!$A$108</t>
  </si>
  <si>
    <t>ディシジョン(BL)
ディシジョンID=D-2.ディシジョンNO=98.ディシジョン名=BL実行(店別セール発注製品マスタ登録).ディシジョン概要=【設定値条件】出荷先世代.納品単価区分 = [区分値.納品単価区分.FFS]</t>
  </si>
  <si>
    <t>\var\opt\jenkins-slave\workspace\fraqta-loader-doc-pd\documents\APP-11-02.BL設計書\OPM_オペレーションマスタ\BL設計書_10283_店別セール発注製品マスタ作成.xlsx#\ディシジョンテーブル定義\!$A$109</t>
  </si>
  <si>
    <t>100</t>
  </si>
  <si>
    <t>ディシジョン(BL)
ディシジョンID=D-2.ディシジョンNO=99.ディシジョン名=BL実行(店別セール発注製品マスタ登録).ディシジョン概要=【設定値条件】セールマスタ.セール区分 = [区分値.セール区分.長期LT通常発注]</t>
  </si>
  <si>
    <t>\var\opt\jenkins-slave\workspace\fraqta-loader-doc-pd\documents\APP-11-02.BL設計書\OPM_オペレーションマスタ\BL設計書_10283_店別セール発注製品マスタ作成.xlsx#\ディシジョンテーブル定義\!$A$110</t>
  </si>
  <si>
    <t>101</t>
  </si>
  <si>
    <t>ディシジョン(BL)
ディシジョンID=D-2.ディシジョンNO=100.ディシジョン名=BL実行(店別セール発注製品マスタ登録).ディシジョン概要=【設定値条件】セールマスタ.セール区分が[区分値.セール区分.長期LT通常発注]以外</t>
  </si>
  <si>
    <t>\var\opt\jenkins-slave\workspace\fraqta-loader-doc-pd\documents\APP-11-02.BL設計書\OPM_オペレーションマスタ\BL設計書_10283_店別セール発注製品マスタ作成.xlsx#\ディシジョンテーブル定義\!$A$111</t>
  </si>
  <si>
    <t>\var\opt\jenkins-slave\workspace\fraqta-loader-doc\documents\APP-11-02.BL設計書\OPM_オペレーションマスタ\BL設計書_10283_店別セール発注製品マスタ作成.xlsx#\機能概要\!$AQ$56</t>
  </si>
  <si>
    <t>21.削除フラグ</t>
  </si>
  <si>
    <t>整合性チェック</t>
  </si>
  <si>
    <t>削除フラグが検索条件または結合条件で指定されること</t>
  </si>
  <si>
    <t>\var\opt\jenkins-slave\workspace\fraqta-loader-doc\documents\APP-11-02.BL設計書\OPM_オペレーションマスタ\BL設計書_10283_店別セール発注製品マスタ作成.xlsx#\機能概要\!$AQ$57</t>
  </si>
  <si>
    <t>\var\opt\jenkins-slave\workspace\fraqta-loader-doc\documents\APP-11-02.BL設計書\OPM_オペレーションマスタ\BL設計書_10283_店別セール発注製品マスタ作成.xlsx#\機能概要\!$AQ$58</t>
  </si>
  <si>
    <t>\var\opt\jenkins-slave\workspace\fraqta-loader-doc\documents\APP-11-02.BL設計書\OPM_オペレーションマスタ\BL設計書_10283_店別セール発注製品マスタ作成.xlsx#\機能概要\!$AQ$61</t>
  </si>
  <si>
    <t>\var\opt\jenkins-slave\workspace\fraqta-loader-doc\documents\APP-11-02.BL設計書\OPM_オペレーションマスタ\BL設計書_10283_店別セール発注製品マスタ作成.xlsx#\機能概要\!$AQ$63</t>
  </si>
  <si>
    <t>\var\opt\jenkins-slave\workspace\fraqta-loader-doc\documents\APP-11-02.BL設計書\OPM_オペレーションマスタ\BL設計書_10283_店別セール発注製品マスタ作成.xlsx#\機能概要\!$AQ$64</t>
  </si>
  <si>
    <t>\var\opt\jenkins-slave\workspace\fraqta-loader-doc\documents\APP-11-02.BL設計書\OPM_オペレーションマスタ\BL設計書_10283_店別セール発注製品マスタ作成.xlsx#\機能概要\!$AQ$65</t>
  </si>
  <si>
    <t>\var\opt\jenkins-slave\workspace\fraqta-loader-doc\documents\APP-11-02.BL設計書\OPM_オペレーションマスタ\BL設計書_10283_店別セール発注製品マスタ作成.xlsx#\機能概要\!$AQ$66</t>
  </si>
  <si>
    <t>削除フラグチェック
CRUDNo=1-2,対象テーブル=セールマスタ
削除フラグ=未削除</t>
  </si>
  <si>
    <t>削除フラグチェック
CRUDNo=1-2,対象テーブル=セール発注製品マスタ
削除フラグ=未削除</t>
  </si>
  <si>
    <t>削除フラグチェック
CRUDNo=1-2,対象テーブル=商品マスタ
削除フラグ=未削除</t>
  </si>
  <si>
    <t>削除フラグチェック
CRUDNo=1-2,対象テーブル=商品分類関連マスタ
削除フラグ=未削除</t>
  </si>
  <si>
    <t>\var\opt\jenkins-slave\workspace\fraqta-loader-doc\documents\APP-11-02.BL設計書\OPM_オペレーションマスタ\BL設計書_10283_店別セール発注製品マスタ作成.xlsx#\機能概要\!$AQ$59</t>
  </si>
  <si>
    <t>削除フラグチェック
CRUDNo=1-2,対象テーブル=商品分類展開マスタ
削除フラグ=未削除</t>
  </si>
  <si>
    <t>\var\opt\jenkins-slave\workspace\fraqta-loader-doc\documents\APP-11-02.BL設計書\OPM_オペレーションマスタ\BL設計書_10283_店別セール発注製品マスタ作成.xlsx#\機能概要\!$AQ$60</t>
  </si>
  <si>
    <t>削除フラグチェック
CRUDNo=1-2,対象テーブル=店舗形態別商品販売条件マスタ
削除フラグ=未削除</t>
  </si>
  <si>
    <t>削除フラグチェック
CRUDNo=1-2,対象テーブル=製品マスタ
削除フラグ=未削除</t>
  </si>
  <si>
    <t>\var\opt\jenkins-slave\workspace\fraqta-loader-doc\documents\APP-11-02.BL設計書\OPM_オペレーションマスタ\BL設計書_10283_店別セール発注製品マスタ作成.xlsx#\機能概要\!$AQ$62</t>
  </si>
  <si>
    <t>削除フラグチェック
CRUDNo=1-2,対象テーブル=製品世代マスタ
削除フラグ=未削除</t>
  </si>
  <si>
    <t>削除フラグチェック
CRUDNo=1-2,対象テーブル=仕入先マスタ
削除フラグ=未削除</t>
  </si>
  <si>
    <t>削除フラグチェック
CRUDNo=1-2,対象テーブル=仕入先別カレンダーマスタ
削除フラグ=未削除</t>
  </si>
  <si>
    <t>削除フラグチェック
CRUDNo=1-2,対象テーブル=店舗マスタ
削除フラグ=未削除</t>
  </si>
  <si>
    <t>削除フラグチェック
CRUDNo=1-2,対象テーブル=出荷先世代マスタ
削除フラグ=未削除</t>
  </si>
  <si>
    <t>\var\opt\jenkins-slave\workspace\fraqta-loader-doc\documents\APP-11-02.BL設計書\OPM_オペレーションマスタ\BL設計書_10283_店別セール発注製品マスタ作成.xlsx#\機能概要\!$AQ$67</t>
  </si>
  <si>
    <t>削除フラグチェック
CRUDNo=1-2,対象テーブル=レジデータ店舗マスタ
削除フラグ=未削除</t>
  </si>
  <si>
    <t>\var\opt\jenkins-slave\workspace\fraqta-loader-doc\documents\APP-11-02.BL設計書\OPM_オペレーションマスタ\BL設計書_10283_店別セール発注製品マスタ作成.xlsx#\機能概要\!$AQ$68</t>
  </si>
  <si>
    <t>20180606</t>
    <phoneticPr fontId="27"/>
  </si>
  <si>
    <t>該当するコマンドが見つかりませんでした。</t>
  </si>
  <si>
    <t>2018-07-15</t>
  </si>
  <si>
    <t>2018-07-28</t>
  </si>
  <si>
    <t>2018-07-29</t>
  </si>
  <si>
    <t>2018-07-31</t>
  </si>
  <si>
    <t>2018-08-01</t>
  </si>
  <si>
    <t>2018-09-01 00:00:00</t>
  </si>
  <si>
    <t>2018-09-06 00:00:00</t>
  </si>
  <si>
    <t>2018-09-11 00:00:00</t>
  </si>
  <si>
    <t>D-1-1
ディシジョン(BL)
ディシジョンID=D-1.ディシジョンNO=1.ディシジョン名=BL実行(店別セール発注製品マスタをTruncateで全件削除する。).ディシジョン概要=店別セール発注製品マスタ削除(Truncate)</t>
    <phoneticPr fontId="27"/>
  </si>
  <si>
    <t>p1
D-1-2
opm
Offline
R10283
Execute</t>
    <phoneticPr fontId="1"/>
  </si>
  <si>
    <t>R10283</t>
    <phoneticPr fontId="27"/>
  </si>
  <si>
    <t>p1
D-1-1
opm
Offline
R10283
Execute</t>
    <phoneticPr fontId="1"/>
  </si>
  <si>
    <t>02</t>
  </si>
  <si>
    <t>2018-07-16</t>
  </si>
  <si>
    <t>05</t>
  </si>
  <si>
    <t>2018-07-18</t>
  </si>
  <si>
    <t>00</t>
  </si>
  <si>
    <t>07</t>
  </si>
  <si>
    <t>2018-07-20 00:00:00</t>
  </si>
  <si>
    <t>09</t>
  </si>
  <si>
    <t>2018-07-25 00:00:00</t>
  </si>
  <si>
    <t>2018-07-30 00:00:00</t>
  </si>
  <si>
    <t>2018-06-06</t>
    <phoneticPr fontId="27"/>
  </si>
  <si>
    <t>2018-07-17</t>
  </si>
  <si>
    <t>06</t>
  </si>
  <si>
    <t>08</t>
  </si>
  <si>
    <t>2018-07-21 00:00:00</t>
  </si>
  <si>
    <t>2018-07-26 00:00:00</t>
  </si>
  <si>
    <t>2018-07-31 00:00:00</t>
  </si>
  <si>
    <t>2</t>
    <phoneticPr fontId="27"/>
  </si>
  <si>
    <t>end_date</t>
  </si>
  <si>
    <t>start_date</t>
  </si>
  <si>
    <t>pos_sales_core_coop_item_cd</t>
  </si>
  <si>
    <t>item_rcpt_nm</t>
  </si>
  <si>
    <t>pur_order_basic_descr</t>
  </si>
  <si>
    <t>con_tax_typ</t>
  </si>
  <si>
    <t>con_tax_rate_typ</t>
  </si>
  <si>
    <t>item_deal_state_typ</t>
  </si>
  <si>
    <t>pos_prc_input_trgt_flg</t>
  </si>
  <si>
    <t>minus_sales_trgt_flg</t>
  </si>
  <si>
    <t>dept_record_trgt_flg</t>
  </si>
  <si>
    <t>net_sales_trgt_flg</t>
  </si>
  <si>
    <t>stock_mgmt_trgt_item_flg</t>
  </si>
  <si>
    <t>invttake_trgt_item_flg</t>
  </si>
  <si>
    <t>last_upd_user_id</t>
  </si>
  <si>
    <t>last_upd_user_acct_cd</t>
  </si>
  <si>
    <t>last_upd_user_nm</t>
  </si>
  <si>
    <t>last_upd_user_nm_kana</t>
  </si>
  <si>
    <t>last_upd_datetime</t>
  </si>
  <si>
    <t>04</t>
  </si>
  <si>
    <t>2018-08-04 00:00:00</t>
  </si>
  <si>
    <t>2018-08-07 00:00:00</t>
  </si>
  <si>
    <t>2018-08-12 00:00:00</t>
  </si>
  <si>
    <t>2018-08-17 00:00:00</t>
  </si>
  <si>
    <t>05</t>
    <phoneticPr fontId="27"/>
  </si>
  <si>
    <t>2018-05-15</t>
  </si>
  <si>
    <t>2018-05-15</t>
    <phoneticPr fontId="27"/>
  </si>
  <si>
    <t>2018-05-14</t>
  </si>
  <si>
    <t>2018-05-14</t>
    <phoneticPr fontId="27"/>
  </si>
  <si>
    <t>2018-05-16</t>
  </si>
  <si>
    <t>2018-05-16</t>
    <phoneticPr fontId="27"/>
  </si>
  <si>
    <t>01</t>
  </si>
  <si>
    <t>01</t>
    <phoneticPr fontId="27"/>
  </si>
  <si>
    <t>02</t>
    <phoneticPr fontId="27"/>
  </si>
  <si>
    <t>item_class_scheme_typ</t>
  </si>
  <si>
    <t>item_end_date</t>
  </si>
  <si>
    <t>item_class_id</t>
  </si>
  <si>
    <t>2018-07-18 00:00:00</t>
  </si>
  <si>
    <t>2018-07-23 00:00:00</t>
  </si>
  <si>
    <t>2018-07-28 00:00:00</t>
  </si>
  <si>
    <t>2018-05-17</t>
    <phoneticPr fontId="27"/>
  </si>
  <si>
    <t>process_date</t>
  </si>
  <si>
    <t>bottom_hier_item_class_id</t>
  </si>
  <si>
    <t>item_class_cd</t>
  </si>
  <si>
    <t>disp_item_class_cd</t>
  </si>
  <si>
    <t>item_class_nm</t>
  </si>
  <si>
    <t>up_hier_connect_item_class_nm</t>
  </si>
  <si>
    <t>low_hier_connect_item_class_nm</t>
  </si>
  <si>
    <t>disp_item_class_nm</t>
  </si>
  <si>
    <t>item_class_effect_begn_date</t>
  </si>
  <si>
    <t>item_class_effect_finish_date</t>
  </si>
  <si>
    <t>new_set_stop_flg</t>
  </si>
  <si>
    <t>hier_level</t>
  </si>
  <si>
    <t>item_class_hier_nm</t>
  </si>
  <si>
    <t>bottom_hier_flg</t>
  </si>
  <si>
    <t>dept_record_spcl_item_id</t>
  </si>
  <si>
    <t>2018-07-24</t>
  </si>
  <si>
    <t>2018-07-25</t>
  </si>
  <si>
    <t>2018-08-01 00:00:00</t>
  </si>
  <si>
    <t>2018-08-06 00:00:00</t>
  </si>
  <si>
    <t>2018-08-11 00:00:00</t>
  </si>
  <si>
    <t>03</t>
    <phoneticPr fontId="27"/>
  </si>
  <si>
    <t>4</t>
    <phoneticPr fontId="27"/>
  </si>
  <si>
    <t>5</t>
    <phoneticPr fontId="27"/>
  </si>
  <si>
    <t>2018-06-06</t>
  </si>
  <si>
    <t>2018-06-06</t>
    <phoneticPr fontId="27"/>
  </si>
  <si>
    <t>2018-06-07</t>
    <phoneticPr fontId="27"/>
  </si>
  <si>
    <t>store_form_cd</t>
  </si>
  <si>
    <t>pos_dist_trgt_flg</t>
  </si>
  <si>
    <t>2018-07-14</t>
  </si>
  <si>
    <t>03</t>
  </si>
  <si>
    <t>0</t>
    <phoneticPr fontId="27"/>
  </si>
  <si>
    <t>web_disp_typ</t>
  </si>
  <si>
    <t>product_guide_typ</t>
  </si>
  <si>
    <t>product_disp_begn_date</t>
  </si>
  <si>
    <t>product_disp_finish_date</t>
  </si>
  <si>
    <t>product_order_begn_date</t>
  </si>
  <si>
    <t>product_order_finish_date</t>
  </si>
  <si>
    <t>new_regist_trgt_flg</t>
  </si>
  <si>
    <t>2018-07-19</t>
  </si>
  <si>
    <t>2018-07-20</t>
  </si>
  <si>
    <t>2018-07-21</t>
  </si>
  <si>
    <t>2018-07-24 00:00:00</t>
  </si>
  <si>
    <t>2018-07-29 00:00:00</t>
  </si>
  <si>
    <t>2018-08-03 00:00:00</t>
  </si>
  <si>
    <t>1</t>
    <phoneticPr fontId="27"/>
  </si>
  <si>
    <t>barros_unit_cost_rc</t>
  </si>
  <si>
    <t>barros_unit_cost_fc0</t>
  </si>
  <si>
    <t>barros_unit_cost_fc1</t>
  </si>
  <si>
    <t>barros_unit_cost_fc2</t>
  </si>
  <si>
    <t>barros_unit_cost_ffs</t>
  </si>
  <si>
    <t>basic_prc</t>
  </si>
  <si>
    <t>regi_class</t>
  </si>
  <si>
    <t>product_typ</t>
  </si>
  <si>
    <t>manufacturing_typ_1</t>
  </si>
  <si>
    <t>manufacturing_plant_cd_1</t>
  </si>
  <si>
    <t>product_engagement_cd_1</t>
  </si>
  <si>
    <t>stock_base_cd_1</t>
  </si>
  <si>
    <t>manufacturing_typ_2</t>
  </si>
  <si>
    <t>manufacturing_plant_cd_2</t>
  </si>
  <si>
    <t>product_engagement_cd_2</t>
  </si>
  <si>
    <t>stock_base_cd_2</t>
  </si>
  <si>
    <t>manufacturing_typ_3</t>
  </si>
  <si>
    <t>manufacturing_plant_cd_3</t>
  </si>
  <si>
    <t>product_engagement_cd_3</t>
  </si>
  <si>
    <t>stock_base_cd_3</t>
  </si>
  <si>
    <t>manufacturing_typ_4</t>
  </si>
  <si>
    <t>manufacturing_plant_cd_4</t>
  </si>
  <si>
    <t>product_engagement_cd_4</t>
  </si>
  <si>
    <t>stock_base_cd_4</t>
  </si>
  <si>
    <t>manufacturing_typ_5</t>
  </si>
  <si>
    <t>manufacturing_plant_cd_5</t>
  </si>
  <si>
    <t>product_engagement_cd_5</t>
  </si>
  <si>
    <t>stock_base_cd_5</t>
  </si>
  <si>
    <t>manufacturing_typ_6</t>
  </si>
  <si>
    <t>manufacturing_plant_cd_6</t>
  </si>
  <si>
    <t>product_engagement_cd_6</t>
  </si>
  <si>
    <t>stock_base_cd_6</t>
  </si>
  <si>
    <t>manufacturing_typ_7</t>
  </si>
  <si>
    <t>manufacturing_plant_cd_7</t>
  </si>
  <si>
    <t>product_engagement_cd_7</t>
  </si>
  <si>
    <t>stock_base_cd_7</t>
  </si>
  <si>
    <t>manufacturing_typ_8</t>
  </si>
  <si>
    <t>manufacturing_plant_cd_8</t>
  </si>
  <si>
    <t>product_engagement_cd_8</t>
  </si>
  <si>
    <t>stock_base_cd_8</t>
  </si>
  <si>
    <t>manufacturing_typ_9</t>
  </si>
  <si>
    <t>manufacturing_plant_cd_9</t>
  </si>
  <si>
    <t>product_engagement_cd_9</t>
  </si>
  <si>
    <t>stock_base_cd_9</t>
  </si>
  <si>
    <t>manufacturing_typ_10</t>
  </si>
  <si>
    <t>manufacturing_plant_cd_10</t>
  </si>
  <si>
    <t>product_engagement_cd_10</t>
  </si>
  <si>
    <t>stock_base_cd_10</t>
  </si>
  <si>
    <t>food_tray_pur_qty</t>
  </si>
  <si>
    <t>product_catg_typ</t>
  </si>
  <si>
    <t>handling_flg</t>
  </si>
  <si>
    <t>handling_flg_10</t>
  </si>
  <si>
    <t>abolition_typ</t>
  </si>
  <si>
    <t>img_flg</t>
  </si>
  <si>
    <t>begn_date</t>
  </si>
  <si>
    <t>finish_date</t>
  </si>
  <si>
    <t>unit_nm_kanji</t>
  </si>
  <si>
    <t>expense_typ</t>
  </si>
  <si>
    <t>sprt_unit_cost_rc</t>
  </si>
  <si>
    <t>sprt_unit_cost_fc0</t>
  </si>
  <si>
    <t>sprt_unit_cost_fc1</t>
  </si>
  <si>
    <t>sprt_unit_cost_fc2</t>
  </si>
  <si>
    <t>sprt_unit_cost_ffs</t>
  </si>
  <si>
    <t>2018-09-12</t>
  </si>
  <si>
    <t>2018-09-13</t>
  </si>
  <si>
    <t>2018-09-24 00:00:00</t>
  </si>
  <si>
    <t>2018-09-29 00:00:00</t>
  </si>
  <si>
    <t>2018-10-04 00:00:00</t>
  </si>
  <si>
    <t>000</t>
  </si>
  <si>
    <t>001</t>
    <phoneticPr fontId="27"/>
  </si>
  <si>
    <t>12</t>
    <phoneticPr fontId="27"/>
  </si>
  <si>
    <t>store_pur_order_stop_flg</t>
  </si>
  <si>
    <t>2018-07-22 00:00:00</t>
  </si>
  <si>
    <t>2018-07-27 00:00:00</t>
  </si>
  <si>
    <t>04</t>
    <phoneticPr fontId="27"/>
  </si>
  <si>
    <t>00</t>
    <phoneticPr fontId="27"/>
  </si>
  <si>
    <t>ymd</t>
  </si>
  <si>
    <t>record_dest_org_id</t>
  </si>
  <si>
    <t>weather_point_cd</t>
  </si>
  <si>
    <t>ship_to_id</t>
  </si>
  <si>
    <t>register_data_store_id</t>
  </si>
  <si>
    <t>ship_to_nm</t>
  </si>
  <si>
    <t>territory_idx</t>
  </si>
  <si>
    <t>sort_base_cd_1</t>
  </si>
  <si>
    <t>sort_base_cd_2</t>
  </si>
  <si>
    <t>sort_base_cd_3</t>
  </si>
  <si>
    <t>sort_base_cd_4</t>
  </si>
  <si>
    <t>sort_base_cd_5</t>
  </si>
  <si>
    <t>sort_base_cd_6</t>
  </si>
  <si>
    <t>priority_typ</t>
  </si>
  <si>
    <t>delivery_unit_cost_typ</t>
  </si>
  <si>
    <t>2018-08-05 00:00:00</t>
  </si>
  <si>
    <t>2018-08-10 00:00:00</t>
  </si>
  <si>
    <t>2018-05-16</t>
    <phoneticPr fontId="27"/>
  </si>
  <si>
    <t>2018-05-14</t>
    <phoneticPr fontId="27"/>
  </si>
  <si>
    <t>2018-05-15</t>
    <phoneticPr fontId="27"/>
  </si>
  <si>
    <t>03</t>
    <phoneticPr fontId="27"/>
  </si>
  <si>
    <t>04</t>
    <phoneticPr fontId="27"/>
  </si>
  <si>
    <t>1</t>
    <phoneticPr fontId="27"/>
  </si>
  <si>
    <t>1</t>
    <phoneticPr fontId="27"/>
  </si>
  <si>
    <t>locate_biz_catg_typ</t>
  </si>
  <si>
    <t>sales_scale</t>
  </si>
  <si>
    <t>sales_rank</t>
  </si>
  <si>
    <t>core_upd_ymd</t>
  </si>
  <si>
    <t>store_nm_abbr</t>
  </si>
  <si>
    <t>company</t>
  </si>
  <si>
    <t>company_nm</t>
  </si>
  <si>
    <t>biz_dept</t>
  </si>
  <si>
    <t>biz_dept_nm</t>
  </si>
  <si>
    <t>district</t>
  </si>
  <si>
    <t>district_nm</t>
  </si>
  <si>
    <t>district_sub</t>
  </si>
  <si>
    <t>district_depart</t>
  </si>
  <si>
    <t>2018-08-16 00:00:00</t>
  </si>
  <si>
    <t>0</t>
    <phoneticPr fontId="27"/>
  </si>
  <si>
    <t>2018-05-16</t>
    <phoneticPr fontId="27"/>
  </si>
  <si>
    <t>2018-05-14</t>
    <phoneticPr fontId="27"/>
  </si>
  <si>
    <t>2018-05-15</t>
    <phoneticPr fontId="27"/>
  </si>
  <si>
    <t>org_cd</t>
  </si>
  <si>
    <t>org_typ</t>
  </si>
  <si>
    <t>org_nm</t>
  </si>
  <si>
    <t>org_nm_kana</t>
  </si>
  <si>
    <t>org_discont_flg</t>
  </si>
  <si>
    <t>03</t>
    <phoneticPr fontId="27"/>
  </si>
  <si>
    <t>00</t>
    <phoneticPr fontId="27"/>
  </si>
  <si>
    <t>01</t>
    <phoneticPr fontId="27"/>
  </si>
  <si>
    <t>01</t>
    <phoneticPr fontId="27"/>
  </si>
  <si>
    <t>02</t>
    <phoneticPr fontId="27"/>
  </si>
  <si>
    <t>99</t>
    <phoneticPr fontId="27"/>
  </si>
  <si>
    <t>DBスキーマ内のテーブルに「{1}」で始まるシートの初期データを登録する。</t>
    <phoneticPr fontId="1"/>
  </si>
  <si>
    <t>BLを実行する。</t>
    <phoneticPr fontId="1"/>
  </si>
  <si>
    <t>DBスキーマ内のテーブルが「{1}」で始まるシートに定義された想定データ値と一致することを検証し、エビデンスとしてスナップショットを取得する。</t>
    <phoneticPr fontId="1"/>
  </si>
  <si>
    <t>D-2-9
後続世代</t>
    <phoneticPr fontId="27"/>
  </si>
  <si>
    <t>9999-12-31</t>
    <phoneticPr fontId="27"/>
  </si>
  <si>
    <t>正常系</t>
    <phoneticPr fontId="27"/>
  </si>
  <si>
    <t>D-2-9
ディシジョン(BL)
ディシジョンID=D-2.ディシジョンNO=9.ディシジョン名=BL実行(店別セール発注製品マスタ登録).ディシジョン概要=【結合条件不一致】商品マスタ.適用開始日 = セール発注製品マスタ.廻送日付開始-1商品マスタ.適用終了日 = セール発注製品マスタ.廻送日付開始-1</t>
    <phoneticPr fontId="27"/>
  </si>
  <si>
    <t>D-2-19
後続世代</t>
    <phoneticPr fontId="27"/>
  </si>
  <si>
    <t>D-2-34
後続世代</t>
    <phoneticPr fontId="27"/>
  </si>
  <si>
    <t>D-2-43
後続世代</t>
    <phoneticPr fontId="27"/>
  </si>
  <si>
    <t>D-2-48
後続世代</t>
    <phoneticPr fontId="27"/>
  </si>
  <si>
    <t>D-2-2
ディシジョン(BL)
ディシジョンID=D-2.ディシジョンNO=2.ディシジョン名=BL実行(店別セール発注製品マスタ登録).ディシジョン概要=登録条件全一致セールマスタ.最終参照可能日 = システム.業務日付</t>
    <phoneticPr fontId="27"/>
  </si>
  <si>
    <t>D-2-100
ディシジョン(BL)
ディシジョンID=D-2.ディシジョンNO=100.ディシジョン名=BL実行(店別セール発注製品マスタ登録).ディシジョン概要=【設定値条件】セールマスタ.セール区分が[区分値.セール区分.長期LT通常発注]以外</t>
    <phoneticPr fontId="27"/>
  </si>
  <si>
    <t>D-2-99
ディシジョン(BL)
ディシジョンID=D-2.ディシジョンNO=99.ディシジョン名=BL実行(店別セール発注製品マスタ登録).ディシジョン概要=【設定値条件】セールマスタ.セール区分 = [区分値.セール区分.長期LT通常発注]</t>
    <phoneticPr fontId="27"/>
  </si>
  <si>
    <t>D-2-4
ディシジョン(BL)
ディシジョンID=D-2.ディシジョンNO=4.ディシジョン名=BL実行(店別セール発注製品マスタ登録).ディシジョン概要=【結合条件不一致】セールマスタ.セールIDと不一致</t>
    <phoneticPr fontId="27"/>
  </si>
  <si>
    <t>D-2-5
ディシジョン(BL)
ディシジョンID=D-2.ディシジョンNO=5.ディシジョン名=BL実行(店別セール発注製品マスタ登録).ディシジョン概要=【結合条件不一致】セール発注製品マスタ.商品コード不一致</t>
    <phoneticPr fontId="27"/>
  </si>
  <si>
    <t>D-2-7
ディシジョン(BL)
ディシジョンID=D-2.ディシジョンNO=7.ディシジョン名=BL実行(店別セール発注製品マスタ登録).ディシジョン概要=登録条件全一致商品マスタ.適用開始日 = セール発注製品マスタ.廻送日付開始-1(Not境界値)商品マスタ.適用終了日 = セール発注製品マスタ.廻送日付開始(境界値)</t>
    <phoneticPr fontId="27"/>
  </si>
  <si>
    <t>D-2-8
ディシジョン(BL)
ディシジョンID=D-2.ディシジョンNO=8.ディシジョン名=BL実行(店別セール発注製品マスタ登録).ディシジョン概要=【結合条件不一致】商品マスタ.適用開始日 = セール発注製品マスタ.廻送日付開始+1商品マスタ.適用終了日 = セール発注製品マスタ.廻送日付開始+1</t>
    <phoneticPr fontId="27"/>
  </si>
  <si>
    <t>D-2-10
ディシジョン(BL)
ディシジョンID=D-2.ディシジョンNO=10.ディシジョン名=BL実行(店別セール発注製品マスタ登録).ディシジョン概要=【結合条件不一致】[区分値.商品取扱状態区分.取扱]と不一致</t>
    <phoneticPr fontId="27"/>
  </si>
  <si>
    <t>D-2-11
ディシジョン(BL)
ディシジョンID=D-2.ディシジョンNO=11.ディシジョン名=BL実行(店別セール発注製品マスタ登録).ディシジョン概要=【結合条件不一致】商品マスタ.商品IDと不一致</t>
    <phoneticPr fontId="27"/>
  </si>
  <si>
    <t>D-2-12
ディシジョン(BL)
ディシジョンID=D-2.ディシジョンNO=12.ディシジョン名=BL実行(店別セール発注製品マスタ登録).ディシジョン概要=【結合条件不一致】商品マスタ.適用終了日と不一致</t>
    <phoneticPr fontId="27"/>
  </si>
  <si>
    <t>D-2-13
ディシジョン(BL)
ディシジョンID=D-2.ディシジョンNO=13.ディシジョン名=BL実行(店別セール発注製品マスタ登録).ディシジョン概要=【結合条件不一致】[区分値.商品分類体系区分.営業商品分類]と不一致</t>
    <phoneticPr fontId="27"/>
  </si>
  <si>
    <t>D-2-14
ディシジョン(BL)
ディシジョンID=D-2.ディシジョンNO=14.ディシジョン名=BL実行(店別セール発注製品マスタ登録).ディシジョン概要=【結合条件不一致】商品分類関連マスタ.商品分類体系区分と不一致</t>
    <phoneticPr fontId="27"/>
  </si>
  <si>
    <t>D-2-15
ディシジョン(BL)
ディシジョンID=D-2.ディシジョンNO=15.ディシジョン名=BL実行(店別セール発注製品マスタ登録).ディシジョン概要=【結合条件不一致】商品分類関連マスタ.商品分類IDと不一致</t>
    <phoneticPr fontId="27"/>
  </si>
  <si>
    <t>D-2-17
ディシジョン(BL)
ディシジョンID=D-2.ディシジョンNO=17.ディシジョン名=BL実行(店別セール発注製品マスタ登録).ディシジョン概要=登録条件全一致商品分類展開マスタ.適用開始日 = セール発注製品マスタ.廻送日付開始-1(Not境界値)商品分類展開マスタ.適用終了日 = セール発注製品マスタ.廻送日付開始(境界値)</t>
    <phoneticPr fontId="27"/>
  </si>
  <si>
    <t>D-2-18
ディシジョン(BL)
ディシジョンID=D-2.ディシジョンNO=18.ディシジョン名=BL実行(店別セール発注製品マスタ登録).ディシジョン概要=【結合条件不一致】商品分類展開マスタ.適用開始日 = セール発注製品マスタ.廻送日付開始+1商品分類展開マスタ.適用終了日 = セール発注製品マスタ.廻送日付開始+1</t>
    <phoneticPr fontId="27"/>
  </si>
  <si>
    <t>D-2-19
ディシジョン(BL)
ディシジョンID=D-2.ディシジョンNO=19.ディシジョン名=BL実行(店別セール発注製品マスタ登録).ディシジョン概要=【結合条件不一致】商品分類展開マスタ.適用開始日 = セール発注製品マスタ.廻送日付開始-1商品分類展開マスタ.適用終了日 = セール発注製品マスタ.廻送日付開始-1</t>
    <phoneticPr fontId="27"/>
  </si>
  <si>
    <t>D-2-20
ディシジョン(BL)
ディシジョンID=D-2.ディシジョンNO=20.ディシジョン名=BL実行(店別セール発注製品マスタ登録).ディシジョン概要=【結合条件不一致】システム.業務日付と不一致</t>
    <phoneticPr fontId="27"/>
  </si>
  <si>
    <t>D-2-21
ディシジョン(BL)
ディシジョンID=D-2.ディシジョンNO=21.ディシジョン名=BL実行(店別セール発注製品マスタ登録).ディシジョン概要=【結合条件不一致】商品マスタ.商品IDと不一致</t>
    <phoneticPr fontId="27"/>
  </si>
  <si>
    <t>D-2-22
ディシジョン(BL)
ディシジョンID=D-2.ディシジョンNO=22.ディシジョン名=BL実行(店別セール発注製品マスタ登録).ディシジョン概要=【結合条件不一致】商品マスタ.適用終了日と不一致</t>
    <phoneticPr fontId="27"/>
  </si>
  <si>
    <t>D-2-23
ディシジョン(BL)
ディシジョンID=D-2.ディシジョンNO=23.ディシジョン名=BL実行(店別セール発注製品マスタ登録).ディシジョン概要=【結合条件不一致】セール発注製品マスタ.製品IDと不一致</t>
    <phoneticPr fontId="27"/>
  </si>
  <si>
    <t>D-2-24
ディシジョン(BL)
ディシジョンID=D-2.ディシジョンNO=24.ディシジョン名=BL実行(店別セール発注製品マスタ登録).ディシジョン概要=【結合条件不一致】セールマスタ.製品IDと不一致</t>
    <phoneticPr fontId="27"/>
  </si>
  <si>
    <t>D-2-30
ディシジョン(BL)
ディシジョンID=D-2.ディシジョンNO=30.ディシジョン名=BL実行(店別セール発注製品マスタ登録).ディシジョン概要=【結合条件不一致】製品世代マスタ.業務コード = [区分値.業務コード区分.広域]</t>
    <phoneticPr fontId="27"/>
  </si>
  <si>
    <t>D-2-32
ディシジョン(BL)
ディシジョンID=D-2.ディシジョンNO=32.ディシジョン名=BL実行(店別セール発注製品マスタ登録).ディシジョン概要=登録条件全一致仕入先マスタ.適用開始日 = セール発注製品マスタ.廻送日付開始-1(Not境界値)仕入先マスタ.適用終了日 = セール発注製品マスタ.廻送日付開始(境界値)</t>
    <phoneticPr fontId="27"/>
  </si>
  <si>
    <t>D-2-33
ディシジョン(BL)
ディシジョンID=D-2.ディシジョンNO=33.ディシジョン名=BL実行(店別セール発注製品マスタ登録).ディシジョン概要=【結合条件不一致】仕入先マスタ.適用開始日 = セール発注製品マスタ.廻送日付開始+1仕入先マスタ.適用終了日 = セール発注製品マスタ.廻送日付開始+1</t>
    <phoneticPr fontId="27"/>
  </si>
  <si>
    <t>D-2-34
ディシジョン(BL)
ディシジョンID=D-2.ディシジョンNO=34.ディシジョン名=BL実行(店別セール発注製品マスタ登録).ディシジョン概要=【結合条件不一致】仕入先マスタ.適用開始日 = セール発注製品マスタ.廻送日付開始-1仕入先マスタ.適用終了日 = セール発注製品マスタ.廻送日付開始-1</t>
    <phoneticPr fontId="27"/>
  </si>
  <si>
    <t>D-2-35
ディシジョン(BL)
ディシジョンID=D-2.ディシジョンNO=35.ディシジョン名=BL実行(店別セール発注製品マスタ登録).ディシジョン概要=【結合条件不一致】製品マスタ.地区区分と不一致</t>
    <phoneticPr fontId="27"/>
  </si>
  <si>
    <t>D-2-36
ディシジョン(BL)
ディシジョンID=D-2.ディシジョンNO=36.ディシジョン名=BL実行(店別セール発注製品マスタ登録).ディシジョン概要=【結合条件不一致】製品世代マスタ.業務コードと不一致</t>
    <phoneticPr fontId="27"/>
  </si>
  <si>
    <t>D-2-37
ディシジョン(BL)
ディシジョンID=D-2.ディシジョンNO=37.ディシジョン名=BL実行(店別セール発注製品マスタ登録).ディシジョン概要=【結合条件不一致】[区分値.店舗発注停止フラグ.停止しない]と不一致</t>
    <phoneticPr fontId="27"/>
  </si>
  <si>
    <t>D-2-38
ディシジョン(BL)
ディシジョンID=D-2.ディシジョンNO=38.ディシジョン名=BL実行(店別セール発注製品マスタ登録).ディシジョン概要=【結合条件不一致】仕入先マスタ.仕入先コードと不一致</t>
    <phoneticPr fontId="27"/>
  </si>
  <si>
    <t>D-2-39
ディシジョン(BL)
ディシジョンID=D-2.ディシジョンNO=39.ディシジョン名=BL実行(店別セール発注製品マスタ登録).ディシジョン概要=【結合条件不一致】セール発注製品マスタ.廻送日付開始と不一致</t>
    <phoneticPr fontId="27"/>
  </si>
  <si>
    <t>D-2-41
ディシジョン(BL)
ディシジョンID=D-2.ディシジョンNO=41.ディシジョン名=BL実行(店別セール発注製品マスタ登録).ディシジョン概要=登録条件全一致店舗マスタ.適用開始日 = セール発注製品マスタ.廻送日付開始-1(Not境界値)店舗マスタ.適用終了日 = セール発注製品マスタ.廻送日付開始(境界値)</t>
    <phoneticPr fontId="27"/>
  </si>
  <si>
    <t>D-2-42
ディシジョン(BL)
ディシジョンID=D-2.ディシジョンNO=42.ディシジョン名=BL実行(店別セール発注製品マスタ登録).ディシジョン概要=【結合条件不一致】店舗マスタ.適用開始日 = セール発注製品マスタ.廻送日付開始+1店舗マスタ.適用終了日 = セール発注製品マスタ.廻送日付開始+1</t>
    <phoneticPr fontId="27"/>
  </si>
  <si>
    <t>D-2-43
ディシジョン(BL)
ディシジョンID=D-2.ディシジョンNO=43.ディシジョン名=BL実行(店別セール発注製品マスタ登録).ディシジョン概要=【結合条件不一致】店舗マスタ.適用開始日 = セール発注製品マスタ.廻送日付開始-1店舗マスタ.適用終了日 = セール発注製品マスタ.廻送日付開始-1</t>
    <phoneticPr fontId="27"/>
  </si>
  <si>
    <t>D-2-44
ディシジョン(BL)
ディシジョンID=D-2.ディシジョンNO=44.ディシジョン名=BL実行(店別セール発注製品マスタ登録).ディシジョン概要=【結合条件不一致】店舗マスタ.出荷先IDと不一致</t>
    <phoneticPr fontId="27"/>
  </si>
  <si>
    <t>D-2-46
ディシジョン(BL)
ディシジョンID=D-2.ディシジョンNO=46.ディシジョン名=BL実行(店別セール発注製品マスタ登録).ディシジョン概要=登録条件全一致出荷先世代マスタ.適用開始日 = セール発注製品マスタ.廻送日付開始-1(Not境界値)出荷先世代マスタ.適用終了日 = セール発注製品マスタ.廻送日付開始(境界値)</t>
    <phoneticPr fontId="27"/>
  </si>
  <si>
    <t>D-2-47
ディシジョン(BL)
ディシジョンID=D-2.ディシジョンNO=47.ディシジョン名=BL実行(店別セール発注製品マスタ登録).ディシジョン概要=【結合条件不一致】出荷先世代マスタ.適用開始日 = セール発注製品マスタ.廻送日付開始+1出荷先世代マスタ.適用終了日 = セール発注製品マスタ.廻送日付開始+1</t>
    <phoneticPr fontId="27"/>
  </si>
  <si>
    <t>D-2-48
ディシジョン(BL)
ディシジョンID=D-2.ディシジョンNO=48.ディシジョン名=BL実行(店別セール発注製品マスタ登録).ディシジョン概要=【結合条件不一致】出荷先世代マスタ.適用開始日 = セール発注製品マスタ.廻送日付開始-1出荷先世代マスタ.適用終了日 = セール発注製品マスタ.廻送日付開始-1</t>
    <phoneticPr fontId="27"/>
  </si>
  <si>
    <t>D-2-49
ディシジョン(BL)
ディシジョンID=D-2.ディシジョンNO=49.ディシジョン名=BL実行(店別セール発注製品マスタ登録).ディシジョン概要=【結合条件不一致】製品マスタ.地区区分と不一致</t>
    <phoneticPr fontId="27"/>
  </si>
  <si>
    <t>D-2-51
ディシジョン(BL)
ディシジョンID=D-2.ディシジョンNO=51.ディシジョン名=BL実行(店別セール発注製品マスタ登録).ディシジョン概要=【結合条件不一致】製品世代マスタ.取扱フラグ(1桁目) = "1"出荷先世代マスタ.取扱フラグ(1桁目) = "2"</t>
    <phoneticPr fontId="27"/>
  </si>
  <si>
    <t>D-2-53
ディシジョン(BL)
ディシジョンID=D-2.ディシジョンNO=53.ディシジョン名=BL実行(店別セール発注製品マスタ登録).ディシジョン概要=【結合条件不一致】製品世代マスタ.取扱フラグ(2桁目) = "1"出荷先世代マスタ.取扱フラグ(2桁目) = "2"</t>
    <phoneticPr fontId="27"/>
  </si>
  <si>
    <t>D-2-55
ディシジョン(BL)
ディシジョンID=D-2.ディシジョンNO=55.ディシジョン名=BL実行(店別セール発注製品マスタ登録).ディシジョン概要=【結合条件不一致】製品世代マスタ.取扱フラグ(3桁目) = "1"出荷先世代マスタ.取扱フラグ(3桁目) = "2"</t>
    <phoneticPr fontId="27"/>
  </si>
  <si>
    <t>D-2-57
ディシジョン(BL)
ディシジョンID=D-2.ディシジョンNO=57.ディシジョン名=BL実行(店別セール発注製品マスタ登録).ディシジョン概要=【結合条件不一致】製品世代マスタ.取扱フラグ(4桁目) = "1"出荷先世代マスタ.取扱フラグ(4桁目) = "2"</t>
    <phoneticPr fontId="27"/>
  </si>
  <si>
    <t>D-2-59
ディシジョン(BL)
ディシジョンID=D-2.ディシジョンNO=59.ディシジョン名=BL実行(店別セール発注製品マスタ登録).ディシジョン概要=【結合条件不一致】製品世代マスタ.取扱フラグ(5桁目) = "1"出荷先世代マスタ.取扱フラグ(5桁目) = "2"</t>
    <phoneticPr fontId="27"/>
  </si>
  <si>
    <t>D-2-61
ディシジョン(BL)
ディシジョンID=D-2.ディシジョンNO=61.ディシジョン名=BL実行(店別セール発注製品マスタ登録).ディシジョン概要=【結合条件不一致】製品世代マスタ.取扱フラグ(6桁目) = "1"出荷先世代マスタ.取扱フラグ(6桁目) = "2"</t>
    <phoneticPr fontId="27"/>
  </si>
  <si>
    <t>D-2-63
ディシジョン(BL)
ディシジョンID=D-2.ディシジョンNO=63.ディシジョン名=BL実行(店別セール発注製品マスタ登録).ディシジョン概要=【結合条件不一致】製品世代マスタ.取扱フラグ(7桁目) ="1"出荷先世代マスタ.取扱フラグ(7桁目) ="2"</t>
    <phoneticPr fontId="27"/>
  </si>
  <si>
    <t>D-2-65
ディシジョン(BL)
ディシジョンID=D-2.ディシジョンNO=65.ディシジョン名=BL実行(店別セール発注製品マスタ登録).ディシジョン概要=【結合条件不一致】製品世代マスタ.取扱フラグ(8桁目) ="1"出荷先世代マスタ.取扱フラグ(8桁目) ="2"</t>
    <phoneticPr fontId="27"/>
  </si>
  <si>
    <t>D-2-67
ディシジョン(BL)
ディシジョンID=D-2.ディシジョンNO=67.ディシジョン名=BL実行(店別セール発注製品マスタ登録).ディシジョン概要=【結合条件不一致】製品世代マスタ.取扱フラグ(17桁目) ="1"出荷先世代マスタ.取扱フラグ(17桁目) ="2"</t>
    <phoneticPr fontId="27"/>
  </si>
  <si>
    <t>D-2-69
ディシジョン(BL)
ディシジョンID=D-2.ディシジョンNO=69.ディシジョン名=BL実行(店別セール発注製品マスタ登録).ディシジョン概要=【結合条件不一致】製品世代マスタ.取扱フラグ(18桁目) = "1"出荷先世代マスタ.取扱フラグ(18桁目) = "2"</t>
    <phoneticPr fontId="27"/>
  </si>
  <si>
    <t>D-2-71
ディシジョン(BL)
ディシジョンID=D-2.ディシジョンNO=71.ディシジョン名=BL実行(店別セール発注製品マスタ登録).ディシジョン概要=【結合条件不一致】製品世代マスタ.取扱フラグ(19桁目) = "1"出荷先世代マスタ.取扱フラグ(19桁目) = "2"</t>
    <phoneticPr fontId="27"/>
  </si>
  <si>
    <t>D-2-73
ディシジョン(BL)
ディシジョンID=D-2.ディシジョンNO=73.ディシジョン名=BL実行(店別セール発注製品マスタ登録).ディシジョン概要=【結合条件不一致】製品世代マスタ.取扱フラグ(20桁目) = "1"出荷先世代マスタ.取扱フラグ(20桁目) = "2"</t>
    <phoneticPr fontId="27"/>
  </si>
  <si>
    <t>D-2-75
ディシジョン(BL)
ディシジョンID=D-2.ディシジョンNO=75.ディシジョン名=BL実行(店別セール発注製品マスタ登録).ディシジョン概要=【結合条件不一致】製品世代マスタ.取扱フラグ(21桁目) = "1"出荷先世代マスタ.取扱フラグ(21桁目) = "2"</t>
    <phoneticPr fontId="27"/>
  </si>
  <si>
    <t>D-2-77
ディシジョン(BL)
ディシジョンID=D-2.ディシジョンNO=77.ディシジョン名=BL実行(店別セール発注製品マスタ登録).ディシジョン概要=【結合条件不一致】製品世代マスタ.取扱フラグ(22桁目) = "1"出荷先世代マスタ.取扱フラグ(22桁目) = "2"</t>
    <phoneticPr fontId="27"/>
  </si>
  <si>
    <t>D-2-79
ディシジョン(BL)
ディシジョンID=D-2.ディシジョンNO=79.ディシジョン名=BL実行(店別セール発注製品マスタ登録).ディシジョン概要=【結合条件不一致】製品世代マスタ.取扱フラグ(23桁目) = "1"出荷先世代マスタ.取扱フラグ(23桁目) = "2"</t>
    <phoneticPr fontId="27"/>
  </si>
  <si>
    <t>D-2-81
ディシジョン(BL)
ディシジョンID=D-2.ディシジョンNO=81.ディシジョン名=BL実行(店別セール発注製品マスタ登録).ディシジョン概要=【結合条件不一致】製品世代マスタ.取扱フラグ(24桁目) = "1"出荷先世代マスタ.取扱フラグ(24桁目) = "2"</t>
    <phoneticPr fontId="27"/>
  </si>
  <si>
    <t>D-2-94
ディシジョン(BL)
ディシジョンID=D-2.ディシジョンNO=94.ディシジョン名=BL実行(店別セール発注製品マスタ登録).ディシジョン概要=【設定値条件】出荷先世代.納品単価区分 = [区分値.納品単価区分.直営]</t>
    <phoneticPr fontId="27"/>
  </si>
  <si>
    <t>D-2-95
ディシジョン(BL)
ディシジョンID=D-2.ディシジョンNO=95.ディシジョン名=BL実行(店別セール発注製品マスタ登録).ディシジョン概要=【設定値条件】出荷先世代.納品単価区分 = [区分値.納品単価区分.FC0]</t>
    <phoneticPr fontId="27"/>
  </si>
  <si>
    <t>D-2-96
ディシジョン(BL)
ディシジョンID=D-2.ディシジョンNO=96.ディシジョン名=BL実行(店別セール発注製品マスタ登録).ディシジョン概要=【設定値条件】出荷先世代.納品単価区分 = [区分値.納品単価区分.FC1]</t>
    <phoneticPr fontId="27"/>
  </si>
  <si>
    <t>D-2-97
ディシジョン(BL)
ディシジョンID=D-2.ディシジョンNO=97.ディシジョン名=BL実行(店別セール発注製品マスタ登録).ディシジョン概要=【設定値条件】出荷先世代.納品単価区分 = [区分値.納品単価区分.FC2]</t>
    <phoneticPr fontId="27"/>
  </si>
  <si>
    <t>D-2-98
ディシジョン(BL)
ディシジョンID=D-2.ディシジョンNO=98.ディシジョン名=BL実行(店別セール発注製品マスタ登録).ディシジョン概要=【設定値条件】出荷先世代.納品単価区分 = [区分値.納品単価区分.FFS]</t>
    <phoneticPr fontId="27"/>
  </si>
  <si>
    <t>last_ref_possible_date</t>
    <phoneticPr fontId="27"/>
  </si>
  <si>
    <t>ディシジョン(BL)
ディシジョンID=D-2.ディシジョンNO=1.ディシジョン名=BL実行(店別セール発注製品マスタ登録).ディシジョン概要=登録条件全一致セールマスタ.最終参照可能日 = システム.業務日付+1</t>
    <phoneticPr fontId="27"/>
  </si>
  <si>
    <t>ディシジョン(BL)
ディシジョンID=D-2.ディシジョンNO=3.ディシジョン名=BL実行(店別セール発注製品マスタ登録).ディシジョン概要=【抽出条件不一致】セールマスタ.最終参照可能日 = システム.業務日付-1</t>
    <phoneticPr fontId="27"/>
  </si>
  <si>
    <t>D-2-3
ディシジョン(BL)
ディシジョンID=D-2.ディシジョンNO=3.ディシジョン名=BL実行(店別セール発注製品マスタ登録).ディシジョン概要=【抽出条件不一致】セールマスタ.最終参照可能日 = システム.業務日付-1</t>
    <phoneticPr fontId="27"/>
  </si>
  <si>
    <t>2018-06-05</t>
    <phoneticPr fontId="27"/>
  </si>
  <si>
    <t>削除フラグチェック
CRUDNo=1-2,対象テーブル=セールマスタ
削除フラグ=未削除</t>
    <phoneticPr fontId="27"/>
  </si>
  <si>
    <t>削除フラグチェック
対象テーブル=セールマスタ
削除フラグ=削除</t>
    <phoneticPr fontId="27"/>
  </si>
  <si>
    <t>01</t>
    <phoneticPr fontId="27"/>
  </si>
  <si>
    <t>10</t>
    <phoneticPr fontId="27"/>
  </si>
  <si>
    <t>削除フラグチェック
CRUDNo=1-2,対象テーブル=セール発注製品マスタ
削除フラグ=未削除</t>
    <phoneticPr fontId="27"/>
  </si>
  <si>
    <t>D-2-1
ディシジョン(BL)
ディシジョンID=D-2.ディシジョンNO=1.ディシジョン名=BL実行(店別セール発注製品マスタ登録).ディシジョン概要=登録条件全一致セールマスタ.最終参照可能日 = システム.業務日付+1
削除フラグチェック
CRUDNo=1-2,対象テーブル=セール発注製品マスタ
削除フラグ=未削除</t>
    <phoneticPr fontId="27"/>
  </si>
  <si>
    <t>削除フラグチェック
対象テーブル=セール発注製品マスタ
削除フラグ=削除</t>
    <phoneticPr fontId="27"/>
  </si>
  <si>
    <t>00</t>
    <phoneticPr fontId="27"/>
  </si>
  <si>
    <t>06</t>
    <phoneticPr fontId="27"/>
  </si>
  <si>
    <t>削除フラグチェック
CRUDNo=1-2,対象テーブル=商品マスタ
削除フラグ=未削除</t>
    <phoneticPr fontId="27"/>
  </si>
  <si>
    <t>D-2-6
ディシジョン(BL)
ディシジョンID=D-2.ディシジョンNO=6.ディシジョン名=BL実行(店別セール発注製品マスタ登録).ディシジョン概要=登録条件全一致商品マスタ.適用開始日 = セール発注製品マスタ.廻送日付開始(境界値)商品マスタ.適用終了日 = セール発注製品マスタ.廻送日付開始+1(Not境界値)
削除フラグチェック
CRUDNo=1-2,対象テーブル=商品マスタ
削除フラグ=未削除</t>
    <phoneticPr fontId="27"/>
  </si>
  <si>
    <t>削除フラグチェック
対象テーブル=商品マスタ
削除フラグ=削除</t>
    <phoneticPr fontId="27"/>
  </si>
  <si>
    <t>1</t>
    <phoneticPr fontId="27"/>
  </si>
  <si>
    <t>削除フラグチェック
CRUDNo=1-2,対象テーブル=商品分類関連マスタ
削除フラグ=未削除</t>
    <phoneticPr fontId="27"/>
  </si>
  <si>
    <t>1</t>
    <phoneticPr fontId="27"/>
  </si>
  <si>
    <t>2</t>
    <phoneticPr fontId="27"/>
  </si>
  <si>
    <t>3</t>
    <phoneticPr fontId="27"/>
  </si>
  <si>
    <t>6</t>
    <phoneticPr fontId="27"/>
  </si>
  <si>
    <t>2018-05-15</t>
    <phoneticPr fontId="27"/>
  </si>
  <si>
    <t>9999-12-31</t>
    <phoneticPr fontId="27"/>
  </si>
  <si>
    <t>削除フラグチェック
対象テーブル=商品分類関連マスタ
削除フラグ=削除</t>
    <phoneticPr fontId="27"/>
  </si>
  <si>
    <t>01</t>
    <phoneticPr fontId="27"/>
  </si>
  <si>
    <t>削除フラグチェック
CRUDNo=1-2,対象テーブル=商品分類展開マスタ
削除フラグ=未削除</t>
    <phoneticPr fontId="27"/>
  </si>
  <si>
    <t>D-2-16
ディシジョン(BL)
ディシジョンID=D-2.ディシジョンNO=16.ディシジョン名=BL実行(店別セール発注製品マスタ登録).ディシジョン概要=登録条件全一致商品分類展開マスタ.適用開始日 = セール発注製品マスタ.廻送日付開始(境界値)商品分類展開マスタ.適用終了日 = セール発注製品マスタ.廻送日付開始+1(Not境界値)
削除フラグチェック
CRUDNo=1-2,対象テーブル=商品分類展開マスタ
削除フラグ=未削除</t>
    <phoneticPr fontId="27"/>
  </si>
  <si>
    <t>削除フラグチェック
対象テーブル=商品分類展開マスタ
削除フラグ=削除</t>
    <phoneticPr fontId="27"/>
  </si>
  <si>
    <t>削除フラグチェック
CRUDNo=1-2,対象テーブル=店舗形態別商品販売条件マスタ
削除フラグ=未削除</t>
    <phoneticPr fontId="27"/>
  </si>
  <si>
    <t>8</t>
    <phoneticPr fontId="27"/>
  </si>
  <si>
    <t>9</t>
    <phoneticPr fontId="27"/>
  </si>
  <si>
    <t>D-2-6
ディシジョン(BL)
ディシジョンID=D-2.ディシジョンNO=6.ディシジョン名=BL実行(店別セール発注製品マスタ登録).ディシジョン概要=登録条件全一致商品マスタ.適用開始日 = セール発注製品マスタ.廻送日付開始(境界値)商品マスタ.適用終了日 = セール発注製品マスタ.廻送日付開始+1(Not境界値)
削除フラグチェック
CRUDNo=1-2,対象テーブル=店舗形態別商品販売条件マスタ
削除フラグ=未削除</t>
    <phoneticPr fontId="27"/>
  </si>
  <si>
    <t>削除フラグチェック
対象テーブル=店舗形態別商品販売条件マスタ
削除フラグ=削除</t>
    <phoneticPr fontId="27"/>
  </si>
  <si>
    <t>00</t>
    <phoneticPr fontId="27"/>
  </si>
  <si>
    <t>2018-05-16</t>
    <phoneticPr fontId="27"/>
  </si>
  <si>
    <t>D-2-25
ディシジョン(BL)
ディシジョンID=D-2.ディシジョンNO=25.ディシジョン名=BL実行(店別セール発注製品マスタ登録).ディシジョン概要=登録条件全一致製品世代マスタ.適用開始日 = セール発注製品マスタ.廻送日付開始(境界値)製品世代マスタ.適用終了日 = セール発注製品マスタ.廻送日付開始+1(Not境界値)
D-2-1
ディシジョン(BL)
ディシジョンID=D-2.ディシジョンNO=1.ディシジョン名=BL実行(店別セール発注製品マスタ登録).ディシジョン概要=登録条件全一致セールマスタ.最終参照可能日 = システム.業務日付+1
削除フラグチェック
CRUDNo=1-2,対象テーブル=製品世代マスタ
削除フラグ=未削除</t>
    <phoneticPr fontId="27"/>
  </si>
  <si>
    <t>D-2-26
ディシジョン(BL)
ディシジョンID=D-2.ディシジョンNO=26.ディシジョン名=BL実行(店別セール発注製品マスタ登録).ディシジョン概要=登録条件全一致製品世代マスタ.適用開始日 = セール発注製品マスタ.廻送日付開始-1(Not境界値)製品世代マスタ.適用終了日 = セール発注製品マスタ.廻送日付開始(境界値)
D-2-2
ディシジョン(BL)
ディシジョンID=D-2.ディシジョンNO=2.ディシジョン名=BL実行(店別セール発注製品マスタ登録).ディシジョン概要=登録条件全一致セールマスタ.最終参照可能日 = システム.業務日付</t>
    <phoneticPr fontId="27"/>
  </si>
  <si>
    <t>D-2-27
ディシジョン(BL)
ディシジョンID=D-2.ディシジョンNO=27.ディシジョン名=BL実行(店別セール発注製品マスタ登録).ディシジョン概要=【結合条件不一致】製品世代マスタ.適用開始日 = セール発注製品マスタ.廻送日付開始+1製品世代マスタ.適用終了日 = セール発注製品マスタ.廻送日付開始+1
D-2-3
ディシジョン(BL)
ディシジョンID=D-2.ディシジョンNO=3.ディシジョン名=BL実行(店別セール発注製品マスタ登録).ディシジョン概要=【抽出条件不一致】セールマスタ.最終参照可能日 = システム.業務日付-1</t>
    <phoneticPr fontId="27"/>
  </si>
  <si>
    <t>D-2-28
ディシジョン(BL)
ディシジョンID=D-2.ディシジョンNO=28.ディシジョン名=BL実行(店別セール発注製品マスタ登録).ディシジョン概要=【結合条件不一致】製品世代マスタ.適用開始日 = セール発注製品マスタ.廻送日付開始-1製品世代マスタ.適用終了日 = セール発注製品マスタ.廻送日付開始-1
D-2-99
ディシジョン(BL)
ディシジョンID=D-2.ディシジョンNO=99.ディシジョン名=BL実行(店別セール発注製品マスタ登録).ディシジョン概要=【設定値条件】セールマスタ.セール区分 = [区分値.セール区分.長期LT通常発注]</t>
    <phoneticPr fontId="27"/>
  </si>
  <si>
    <t>D-2-28
後続世代
D-2-100
ディシジョン(BL)
ディシジョンID=D-2.ディシジョンNO=100.ディシジョン名=BL実行(店別セール発注製品マスタ登録).ディシジョン概要=【設定値条件】セールマスタ.セール区分が[区分値.セール区分.長期LT通常発注]以外</t>
    <phoneticPr fontId="27"/>
  </si>
  <si>
    <t>D-2-29
ディシジョン(BL)
ディシジョンID=D-2.ディシジョンNO=29.ディシジョン名=BL実行(店別セール発注製品マスタ登録).ディシジョン概要=【結合条件不一致】製品世代マスタ.品番 = [000]
削除フラグチェック
対象テーブル=セールマスタ
削除フラグ=削除</t>
    <phoneticPr fontId="27"/>
  </si>
  <si>
    <t>D-2-31
ディシジョン(BL)
ディシジョンID=D-2.ディシジョンNO=31.ディシジョン名=BL実行(店別セール発注製品マスタ登録).ディシジョン概要=登録条件全一致仕入先マスタ.適用開始日 = セール発注製品マスタ.廻送日付開始(境界値)仕入先マスタ.適用終了日 = セール発注製品マスタ.廻送日付開始+1(Not境界値)
削除フラグチェック
CRUDNo=1-2,対象テーブル=仕入先マスタ
削除フラグ=未削除</t>
    <phoneticPr fontId="27"/>
  </si>
  <si>
    <t>09</t>
    <phoneticPr fontId="27"/>
  </si>
  <si>
    <t>削除フラグチェック
対象テーブル=仕入先別カレンダーマスタ
削除フラグ=削除</t>
    <phoneticPr fontId="27"/>
  </si>
  <si>
    <t>D-2-40
ディシジョン(BL)
ディシジョンID=D-2.ディシジョンNO=40.ディシジョン名=BL実行(店別セール発注製品マスタ登録).ディシジョン概要=登録条件全一致店舗マスタ.適用開始日 = セール発注製品マスタ.廻送日付開始(境界値)店舗マスタ.適用終了日 = セール発注製品マスタ.廻送日付開始+1(Not境界値)
削除フラグチェック
CRUDNo=1-2,対象テーブル=店舗マスタ
削除フラグ=未削除</t>
    <phoneticPr fontId="27"/>
  </si>
  <si>
    <t>0</t>
    <phoneticPr fontId="27"/>
  </si>
  <si>
    <t xml:space="preserve">
D-2-45
ディシジョン(BL)
ディシジョンID=D-2.ディシジョンNO=45.ディシジョン名=BL実行(店別セール発注製品マスタ登録).ディシジョン概要=登録条件全一致出荷先世代マスタ.適用開始日 = セール発注製品マスタ.廻送日付開始(境界値)出荷先世代マスタ.適用終了日 = セール発注製品マスタ.廻送日付開始+1(Not境界値)
削除フラグチェック
CRUDNo=1-2,対象テーブル=出荷先世代マスタ
削除フラグ=未削除</t>
    <phoneticPr fontId="27"/>
  </si>
  <si>
    <t>削除フラグチェック
対象テーブル=出荷先世代マスタ
削除フラグ=削除</t>
    <phoneticPr fontId="27"/>
  </si>
  <si>
    <t>削除フラグチェック
対象テーブル=レジデータ店舗マスタ
削除フラグ=削除</t>
    <phoneticPr fontId="27"/>
  </si>
  <si>
    <t>23</t>
    <phoneticPr fontId="27"/>
  </si>
  <si>
    <t>削除フラグチェック
CRUDNo=1-2,対象テーブル=レジデータ店舗マスタ
削除フラグ=未削除</t>
    <phoneticPr fontId="27"/>
  </si>
  <si>
    <t>削除フラグチェック
対象テーブル=組織マスタ
削除フラグ=削除</t>
    <phoneticPr fontId="27"/>
  </si>
  <si>
    <t>正常系</t>
    <phoneticPr fontId="1"/>
  </si>
  <si>
    <t xml:space="preserve">ディシジョン(BL)
ディシジョンID=D-1.ディシジョンNO=1.ディシジョン名=BL実行(店別セール発注製品マスタをTruncateで全件削除する。).ディシジョン概要=店別セール発注製品マスタ削除(Truncate)
</t>
    <phoneticPr fontId="1"/>
  </si>
  <si>
    <t>ディシジョンの期待結果通りとなること</t>
    <phoneticPr fontId="1"/>
  </si>
  <si>
    <t xml:space="preserve">ディシジョン(BL)
ディシジョンID=D-2.ディシジョンNO=1.ディシジョン名=BL実行(店別セール発注製品マスタ登録).ディシジョン概要=登録条件全一致セールマスタ.最終参照可能日 = システム.業務日付+1
</t>
    <phoneticPr fontId="1"/>
  </si>
  <si>
    <t xml:space="preserve">ディシジョン(BL)
ディシジョンID=D-2.ディシジョンNO=2.ディシジョン名=BL実行(店別セール発注製品マスタ登録).ディシジョン概要=登録条件全一致セールマスタ.最終参照可能日 = システム.業務日付
</t>
    <phoneticPr fontId="1"/>
  </si>
  <si>
    <t xml:space="preserve">ディシジョン(BL)
ディシジョンID=D-2.ディシジョンNO=3.ディシジョン名=BL実行(店別セール発注製品マスタ登録).ディシジョン概要=【抽出条件不一致】セールマスタ.最終参照可能日 = システム.業務日付-1
</t>
    <phoneticPr fontId="1"/>
  </si>
  <si>
    <t xml:space="preserve">ディシジョン(BL)
ディシジョンID=D-2.ディシジョンNO=4.ディシジョン名=BL実行(店別セール発注製品マスタ登録).ディシジョン概要=【結合条件不一致】セールマスタ.セールIDと不一致
</t>
    <phoneticPr fontId="1"/>
  </si>
  <si>
    <t xml:space="preserve">ディシジョン(BL)
ディシジョンID=D-2.ディシジョンNO=5.ディシジョン名=BL実行(店別セール発注製品マスタ登録).ディシジョン概要=【結合条件不一致】セール発注製品マスタ.商品コード不一致
</t>
    <phoneticPr fontId="1"/>
  </si>
  <si>
    <t xml:space="preserve">ディシジョン(BL)
ディシジョンID=D-2.ディシジョンNO=6.ディシジョン名=BL実行(店別セール発注製品マスタ登録).ディシジョン概要=登録条件全一致商品マスタ.適用開始日 = セール発注製品マスタ.廻送日付開始(境界値)商品マスタ.適用終了日 = セール発注製品マスタ.廻送日付開始+1(Not境界値)
</t>
    <phoneticPr fontId="1"/>
  </si>
  <si>
    <t xml:space="preserve">ディシジョン(BL)
ディシジョンID=D-2.ディシジョンNO=7.ディシジョン名=BL実行(店別セール発注製品マスタ登録).ディシジョン概要=登録条件全一致商品マスタ.適用開始日 = セール発注製品マスタ.廻送日付開始-1(Not境界値)商品マスタ.適用終了日 = セール発注製品マスタ.廻送日付開始(境界値)
</t>
    <phoneticPr fontId="1"/>
  </si>
  <si>
    <t xml:space="preserve">ディシジョン(BL)
ディシジョンID=D-2.ディシジョンNO=8.ディシジョン名=BL実行(店別セール発注製品マスタ登録).ディシジョン概要=【結合条件不一致】商品マスタ.適用開始日 = セール発注製品マスタ.廻送日付開始+1商品マスタ.適用終了日 = セール発注製品マスタ.廻送日付開始+1
</t>
    <phoneticPr fontId="1"/>
  </si>
  <si>
    <t xml:space="preserve">ディシジョン(BL)
ディシジョンID=D-2.ディシジョンNO=9.ディシジョン名=BL実行(店別セール発注製品マスタ登録).ディシジョン概要=【結合条件不一致】商品マスタ.適用開始日 = セール発注製品マスタ.廻送日付開始-1商品マスタ.適用終了日 = セール発注製品マスタ.廻送日付開始-1
</t>
    <phoneticPr fontId="1"/>
  </si>
  <si>
    <t xml:space="preserve">ディシジョン(BL)
ディシジョンID=D-2.ディシジョンNO=10.ディシジョン名=BL実行(店別セール発注製品マスタ登録).ディシジョン概要=【結合条件不一致】[区分値.商品取扱状態区分.取扱]と不一致
</t>
    <phoneticPr fontId="1"/>
  </si>
  <si>
    <t xml:space="preserve">ディシジョン(BL)
ディシジョンID=D-2.ディシジョンNO=11.ディシジョン名=BL実行(店別セール発注製品マスタ登録).ディシジョン概要=【結合条件不一致】商品マスタ.商品IDと不一致
</t>
    <phoneticPr fontId="1"/>
  </si>
  <si>
    <t xml:space="preserve">ディシジョン(BL)
ディシジョンID=D-2.ディシジョンNO=12.ディシジョン名=BL実行(店別セール発注製品マスタ登録).ディシジョン概要=【結合条件不一致】商品マスタ.適用終了日と不一致
</t>
    <phoneticPr fontId="1"/>
  </si>
  <si>
    <t xml:space="preserve">ディシジョン(BL)
ディシジョンID=D-2.ディシジョンNO=13.ディシジョン名=BL実行(店別セール発注製品マスタ登録).ディシジョン概要=【結合条件不一致】[区分値.商品分類体系区分.営業商品分類]と不一致
</t>
    <phoneticPr fontId="1"/>
  </si>
  <si>
    <t xml:space="preserve">ディシジョン(BL)
ディシジョンID=D-2.ディシジョンNO=14.ディシジョン名=BL実行(店別セール発注製品マスタ登録).ディシジョン概要=【結合条件不一致】商品分類関連マスタ.商品分類体系区分と不一致
</t>
    <phoneticPr fontId="1"/>
  </si>
  <si>
    <t xml:space="preserve">ディシジョン(BL)
ディシジョンID=D-2.ディシジョンNO=15.ディシジョン名=BL実行(店別セール発注製品マスタ登録).ディシジョン概要=【結合条件不一致】商品分類関連マスタ.商品分類IDと不一致
</t>
    <phoneticPr fontId="1"/>
  </si>
  <si>
    <t xml:space="preserve">ディシジョン(BL)
ディシジョンID=D-2.ディシジョンNO=16.ディシジョン名=BL実行(店別セール発注製品マスタ登録).ディシジョン概要=登録条件全一致商品分類展開マスタ.適用開始日 = セール発注製品マスタ.廻送日付開始(境界値)商品分類展開マスタ.適用終了日 = セール発注製品マスタ.廻送日付開始+1(Not境界値)
</t>
    <phoneticPr fontId="1"/>
  </si>
  <si>
    <t xml:space="preserve">ディシジョン(BL)
ディシジョンID=D-2.ディシジョンNO=17.ディシジョン名=BL実行(店別セール発注製品マスタ登録).ディシジョン概要=登録条件全一致商品分類展開マスタ.適用開始日 = セール発注製品マスタ.廻送日付開始-1(Not境界値)商品分類展開マスタ.適用終了日 = セール発注製品マスタ.廻送日付開始(境界値)
</t>
    <phoneticPr fontId="1"/>
  </si>
  <si>
    <t xml:space="preserve">ディシジョン(BL)
ディシジョンID=D-2.ディシジョンNO=18.ディシジョン名=BL実行(店別セール発注製品マスタ登録).ディシジョン概要=【結合条件不一致】商品分類展開マスタ.適用開始日 = セール発注製品マスタ.廻送日付開始+1商品分類展開マスタ.適用終了日 = セール発注製品マスタ.廻送日付開始+1
</t>
    <phoneticPr fontId="1"/>
  </si>
  <si>
    <t xml:space="preserve">ディシジョン(BL)
ディシジョンID=D-2.ディシジョンNO=19.ディシジョン名=BL実行(店別セール発注製品マスタ登録).ディシジョン概要=【結合条件不一致】商品分類展開マスタ.適用開始日 = セール発注製品マスタ.廻送日付開始-1商品分類展開マスタ.適用終了日 = セール発注製品マスタ.廻送日付開始-1
</t>
    <phoneticPr fontId="1"/>
  </si>
  <si>
    <t xml:space="preserve">ディシジョン(BL)
ディシジョンID=D-2.ディシジョンNO=20.ディシジョン名=BL実行(店別セール発注製品マスタ登録).ディシジョン概要=【結合条件不一致】システム.業務日付と不一致
</t>
    <phoneticPr fontId="1"/>
  </si>
  <si>
    <t xml:space="preserve">ディシジョン(BL)
ディシジョンID=D-2.ディシジョンNO=21.ディシジョン名=BL実行(店別セール発注製品マスタ登録).ディシジョン概要=【結合条件不一致】商品マスタ.商品IDと不一致
</t>
    <phoneticPr fontId="1"/>
  </si>
  <si>
    <t xml:space="preserve">ディシジョン(BL)
ディシジョンID=D-2.ディシジョンNO=22.ディシジョン名=BL実行(店別セール発注製品マスタ登録).ディシジョン概要=【結合条件不一致】商品マスタ.適用終了日と不一致
</t>
    <phoneticPr fontId="1"/>
  </si>
  <si>
    <t xml:space="preserve">ディシジョン(BL)
ディシジョンID=D-2.ディシジョンNO=23.ディシジョン名=BL実行(店別セール発注製品マスタ登録).ディシジョン概要=【結合条件不一致】セール発注製品マスタ.製品IDと不一致
</t>
    <phoneticPr fontId="1"/>
  </si>
  <si>
    <t xml:space="preserve">ディシジョン(BL)
ディシジョンID=D-2.ディシジョンNO=24.ディシジョン名=BL実行(店別セール発注製品マスタ登録).ディシジョン概要=【結合条件不一致】セールマスタ.製品IDと不一致
</t>
    <phoneticPr fontId="1"/>
  </si>
  <si>
    <t xml:space="preserve">ディシジョン(BL)
ディシジョンID=D-2.ディシジョンNO=25.ディシジョン名=BL実行(店別セール発注製品マスタ登録).ディシジョン概要=登録条件全一致製品世代マスタ.適用開始日 = セール発注製品マスタ.廻送日付開始(境界値)製品世代マスタ.適用終了日 = セール発注製品マスタ.廻送日付開始+1(Not境界値)
</t>
    <phoneticPr fontId="1"/>
  </si>
  <si>
    <t xml:space="preserve">ディシジョン(BL)
ディシジョンID=D-2.ディシジョンNO=26.ディシジョン名=BL実行(店別セール発注製品マスタ登録).ディシジョン概要=登録条件全一致製品世代マスタ.適用開始日 = セール発注製品マスタ.廻送日付開始-1(Not境界値)製品世代マスタ.適用終了日 = セール発注製品マスタ.廻送日付開始(境界値)
</t>
    <phoneticPr fontId="1"/>
  </si>
  <si>
    <t xml:space="preserve">ディシジョン(BL)
ディシジョンID=D-2.ディシジョンNO=27.ディシジョン名=BL実行(店別セール発注製品マスタ登録).ディシジョン概要=【結合条件不一致】製品世代マスタ.適用開始日 = セール発注製品マスタ.廻送日付開始+1製品世代マスタ.適用終了日 = セール発注製品マスタ.廻送日付開始+1
</t>
    <phoneticPr fontId="1"/>
  </si>
  <si>
    <t xml:space="preserve">ディシジョン(BL)
ディシジョンID=D-2.ディシジョンNO=28.ディシジョン名=BL実行(店別セール発注製品マスタ登録).ディシジョン概要=【結合条件不一致】製品世代マスタ.適用開始日 = セール発注製品マスタ.廻送日付開始-1製品世代マスタ.適用終了日 = セール発注製品マスタ.廻送日付開始-1
</t>
    <phoneticPr fontId="1"/>
  </si>
  <si>
    <t xml:space="preserve">ディシジョン(BL)
ディシジョンID=D-2.ディシジョンNO=29.ディシジョン名=BL実行(店別セール発注製品マスタ登録).ディシジョン概要=【結合条件不一致】製品世代マスタ.品番 = [000]
</t>
    <phoneticPr fontId="1"/>
  </si>
  <si>
    <t xml:space="preserve">ディシジョン(BL)
ディシジョンID=D-2.ディシジョンNO=30.ディシジョン名=BL実行(店別セール発注製品マスタ登録).ディシジョン概要=【結合条件不一致】製品世代マスタ.業務コード = [区分値.業務コード区分.広域]
</t>
    <phoneticPr fontId="1"/>
  </si>
  <si>
    <t xml:space="preserve">ディシジョン(BL)
ディシジョンID=D-2.ディシジョンNO=31.ディシジョン名=BL実行(店別セール発注製品マスタ登録).ディシジョン概要=登録条件全一致仕入先マスタ.適用開始日 = セール発注製品マスタ.廻送日付開始(境界値)仕入先マスタ.適用終了日 = セール発注製品マスタ.廻送日付開始+1(Not境界値)
</t>
    <phoneticPr fontId="1"/>
  </si>
  <si>
    <t xml:space="preserve">ディシジョン(BL)
ディシジョンID=D-2.ディシジョンNO=32.ディシジョン名=BL実行(店別セール発注製品マスタ登録).ディシジョン概要=登録条件全一致仕入先マスタ.適用開始日 = セール発注製品マスタ.廻送日付開始-1(Not境界値)仕入先マスタ.適用終了日 = セール発注製品マスタ.廻送日付開始(境界値)
</t>
    <phoneticPr fontId="1"/>
  </si>
  <si>
    <t xml:space="preserve">ディシジョン(BL)
ディシジョンID=D-2.ディシジョンNO=33.ディシジョン名=BL実行(店別セール発注製品マスタ登録).ディシジョン概要=【結合条件不一致】仕入先マスタ.適用開始日 = セール発注製品マスタ.廻送日付開始+1仕入先マスタ.適用終了日 = セール発注製品マスタ.廻送日付開始+1
</t>
    <phoneticPr fontId="1"/>
  </si>
  <si>
    <t xml:space="preserve">ディシジョン(BL)
ディシジョンID=D-2.ディシジョンNO=34.ディシジョン名=BL実行(店別セール発注製品マスタ登録).ディシジョン概要=【結合条件不一致】仕入先マスタ.適用開始日 = セール発注製品マスタ.廻送日付開始-1仕入先マスタ.適用終了日 = セール発注製品マスタ.廻送日付開始-1
</t>
    <phoneticPr fontId="1"/>
  </si>
  <si>
    <t xml:space="preserve">ディシジョン(BL)
ディシジョンID=D-2.ディシジョンNO=35.ディシジョン名=BL実行(店別セール発注製品マスタ登録).ディシジョン概要=【結合条件不一致】製品マスタ.地区区分と不一致
</t>
    <phoneticPr fontId="1"/>
  </si>
  <si>
    <t xml:space="preserve">ディシジョン(BL)
ディシジョンID=D-2.ディシジョンNO=36.ディシジョン名=BL実行(店別セール発注製品マスタ登録).ディシジョン概要=【結合条件不一致】製品世代マスタ.業務コードと不一致
</t>
    <phoneticPr fontId="1"/>
  </si>
  <si>
    <t xml:space="preserve">ディシジョン(BL)
ディシジョンID=D-2.ディシジョンNO=37.ディシジョン名=BL実行(店別セール発注製品マスタ登録).ディシジョン概要=【結合条件不一致】[区分値.店舗発注停止フラグ.停止しない]と不一致
</t>
    <phoneticPr fontId="1"/>
  </si>
  <si>
    <t xml:space="preserve">ディシジョン(BL)
ディシジョンID=D-2.ディシジョンNO=38.ディシジョン名=BL実行(店別セール発注製品マスタ登録).ディシジョン概要=【結合条件不一致】仕入先マスタ.仕入先コードと不一致
</t>
    <phoneticPr fontId="1"/>
  </si>
  <si>
    <t xml:space="preserve">ディシジョン(BL)
ディシジョンID=D-2.ディシジョンNO=39.ディシジョン名=BL実行(店別セール発注製品マスタ登録).ディシジョン概要=【結合条件不一致】セール発注製品マスタ.廻送日付開始と不一致
</t>
    <phoneticPr fontId="1"/>
  </si>
  <si>
    <t xml:space="preserve">ディシジョン(BL)
ディシジョンID=D-2.ディシジョンNO=40.ディシジョン名=BL実行(店別セール発注製品マスタ登録).ディシジョン概要=登録条件全一致店舗マスタ.適用開始日 = セール発注製品マスタ.廻送日付開始(境界値)店舗マスタ.適用終了日 = セール発注製品マスタ.廻送日付開始+1(Not境界値)
</t>
    <phoneticPr fontId="1"/>
  </si>
  <si>
    <t xml:space="preserve">ディシジョン(BL)
ディシジョンID=D-2.ディシジョンNO=41.ディシジョン名=BL実行(店別セール発注製品マスタ登録).ディシジョン概要=登録条件全一致店舗マスタ.適用開始日 = セール発注製品マスタ.廻送日付開始-1(Not境界値)店舗マスタ.適用終了日 = セール発注製品マスタ.廻送日付開始(境界値)
</t>
    <phoneticPr fontId="1"/>
  </si>
  <si>
    <t xml:space="preserve">ディシジョン(BL)
ディシジョンID=D-2.ディシジョンNO=42.ディシジョン名=BL実行(店別セール発注製品マスタ登録).ディシジョン概要=【結合条件不一致】店舗マスタ.適用開始日 = セール発注製品マスタ.廻送日付開始+1店舗マスタ.適用終了日 = セール発注製品マスタ.廻送日付開始+1
</t>
    <phoneticPr fontId="1"/>
  </si>
  <si>
    <t xml:space="preserve">ディシジョン(BL)
ディシジョンID=D-2.ディシジョンNO=43.ディシジョン名=BL実行(店別セール発注製品マスタ登録).ディシジョン概要=【結合条件不一致】店舗マスタ.適用開始日 = セール発注製品マスタ.廻送日付開始-1店舗マスタ.適用終了日 = セール発注製品マスタ.廻送日付開始-1
</t>
    <phoneticPr fontId="1"/>
  </si>
  <si>
    <t xml:space="preserve">ディシジョン(BL)
ディシジョンID=D-2.ディシジョンNO=44.ディシジョン名=BL実行(店別セール発注製品マスタ登録).ディシジョン概要=【結合条件不一致】店舗マスタ.出荷先IDと不一致
</t>
    <phoneticPr fontId="1"/>
  </si>
  <si>
    <t xml:space="preserve">ディシジョン(BL)
ディシジョンID=D-2.ディシジョンNO=45.ディシジョン名=BL実行(店別セール発注製品マスタ登録).ディシジョン概要=登録条件全一致出荷先世代マスタ.適用開始日 = セール発注製品マスタ.廻送日付開始(境界値)出荷先世代マスタ.適用終了日 = セール発注製品マスタ.廻送日付開始+1(Not境界値)
</t>
    <phoneticPr fontId="1"/>
  </si>
  <si>
    <t xml:space="preserve">ディシジョン(BL)
ディシジョンID=D-2.ディシジョンNO=46.ディシジョン名=BL実行(店別セール発注製品マスタ登録).ディシジョン概要=登録条件全一致出荷先世代マスタ.適用開始日 = セール発注製品マスタ.廻送日付開始-1(Not境界値)出荷先世代マスタ.適用終了日 = セール発注製品マスタ.廻送日付開始(境界値)
</t>
    <phoneticPr fontId="1"/>
  </si>
  <si>
    <t xml:space="preserve">ディシジョン(BL)
ディシジョンID=D-2.ディシジョンNO=47.ディシジョン名=BL実行(店別セール発注製品マスタ登録).ディシジョン概要=【結合条件不一致】出荷先世代マスタ.適用開始日 = セール発注製品マスタ.廻送日付開始+1出荷先世代マスタ.適用終了日 = セール発注製品マスタ.廻送日付開始+1
</t>
    <phoneticPr fontId="1"/>
  </si>
  <si>
    <t xml:space="preserve">ディシジョン(BL)
ディシジョンID=D-2.ディシジョンNO=48.ディシジョン名=BL実行(店別セール発注製品マスタ登録).ディシジョン概要=【結合条件不一致】出荷先世代マスタ.適用開始日 = セール発注製品マスタ.廻送日付開始-1出荷先世代マスタ.適用終了日 = セール発注製品マスタ.廻送日付開始-1
</t>
    <phoneticPr fontId="1"/>
  </si>
  <si>
    <t xml:space="preserve">ディシジョン(BL)
ディシジョンID=D-2.ディシジョンNO=49.ディシジョン名=BL実行(店別セール発注製品マスタ登録).ディシジョン概要=【結合条件不一致】製品マスタ.地区区分と不一致
</t>
    <phoneticPr fontId="1"/>
  </si>
  <si>
    <t xml:space="preserve">ディシジョン(BL)
ディシジョンID=D-2.ディシジョンNO=50.ディシジョン名=BL実行(店別セール発注製品マスタ登録).ディシジョン概要=【設定値条件】製品世代マスタ.取扱フラグ(1桁目) = "2"
</t>
    <phoneticPr fontId="1"/>
  </si>
  <si>
    <t xml:space="preserve">ディシジョン(BL)
ディシジョンID=D-2.ディシジョンNO=51.ディシジョン名=BL実行(店別セール発注製品マスタ登録).ディシジョン概要=【結合条件不一致】製品世代マスタ.取扱フラグ(1桁目) = "1"出荷先世代マスタ.取扱フラグ(1桁目) = "2"
</t>
    <phoneticPr fontId="1"/>
  </si>
  <si>
    <t xml:space="preserve">ディシジョン(BL)
ディシジョンID=D-2.ディシジョンNO=52.ディシジョン名=BL実行(店別セール発注製品マスタ登録).ディシジョン概要=【設定値条件】製品世代マスタ.取扱フラグ(2桁目) = "2"
</t>
    <phoneticPr fontId="1"/>
  </si>
  <si>
    <t xml:space="preserve">ディシジョン(BL)
ディシジョンID=D-2.ディシジョンNO=53.ディシジョン名=BL実行(店別セール発注製品マスタ登録).ディシジョン概要=【結合条件不一致】製品世代マスタ.取扱フラグ(2桁目) = "1"出荷先世代マスタ.取扱フラグ(2桁目) = "2"
</t>
    <phoneticPr fontId="1"/>
  </si>
  <si>
    <t xml:space="preserve">ディシジョン(BL)
ディシジョンID=D-2.ディシジョンNO=54.ディシジョン名=BL実行(店別セール発注製品マスタ登録).ディシジョン概要=【設定値条件】製品世代マスタ.取扱フラグ(3桁目) = "2"
</t>
    <phoneticPr fontId="1"/>
  </si>
  <si>
    <t xml:space="preserve">ディシジョン(BL)
ディシジョンID=D-2.ディシジョンNO=55.ディシジョン名=BL実行(店別セール発注製品マスタ登録).ディシジョン概要=【結合条件不一致】製品世代マスタ.取扱フラグ(3桁目) = "1"出荷先世代マスタ.取扱フラグ(3桁目) = "2"
</t>
    <phoneticPr fontId="1"/>
  </si>
  <si>
    <t xml:space="preserve">ディシジョン(BL)
ディシジョンID=D-2.ディシジョンNO=56.ディシジョン名=BL実行(店別セール発注製品マスタ登録).ディシジョン概要=【設定値条件】製品世代マスタ.取扱フラグ(4桁目) = "2"
</t>
    <phoneticPr fontId="1"/>
  </si>
  <si>
    <t xml:space="preserve">ディシジョン(BL)
ディシジョンID=D-2.ディシジョンNO=57.ディシジョン名=BL実行(店別セール発注製品マスタ登録).ディシジョン概要=【結合条件不一致】製品世代マスタ.取扱フラグ(4桁目) = "1"出荷先世代マスタ.取扱フラグ(4桁目) = "2"
</t>
    <phoneticPr fontId="1"/>
  </si>
  <si>
    <t xml:space="preserve">ディシジョン(BL)
ディシジョンID=D-2.ディシジョンNO=58.ディシジョン名=BL実行(店別セール発注製品マスタ登録).ディシジョン概要=【設定値条件】製品世代マスタ.取扱フラグ(5桁目) = "2"
</t>
    <phoneticPr fontId="1"/>
  </si>
  <si>
    <t xml:space="preserve">ディシジョン(BL)
ディシジョンID=D-2.ディシジョンNO=59.ディシジョン名=BL実行(店別セール発注製品マスタ登録).ディシジョン概要=【結合条件不一致】製品世代マスタ.取扱フラグ(5桁目) = "1"出荷先世代マスタ.取扱フラグ(5桁目) = "2"
</t>
    <phoneticPr fontId="1"/>
  </si>
  <si>
    <t xml:space="preserve">ディシジョン(BL)
ディシジョンID=D-2.ディシジョンNO=60.ディシジョン名=BL実行(店別セール発注製品マスタ登録).ディシジョン概要=【設定値条件】製品世代マスタ.取扱フラグ(6桁目) = "2"
</t>
    <phoneticPr fontId="1"/>
  </si>
  <si>
    <t xml:space="preserve">ディシジョン(BL)
ディシジョンID=D-2.ディシジョンNO=61.ディシジョン名=BL実行(店別セール発注製品マスタ登録).ディシジョン概要=【結合条件不一致】製品世代マスタ.取扱フラグ(6桁目) = "1"出荷先世代マスタ.取扱フラグ(6桁目) = "2"
</t>
    <phoneticPr fontId="1"/>
  </si>
  <si>
    <t xml:space="preserve">ディシジョン(BL)
ディシジョンID=D-2.ディシジョンNO=62.ディシジョン名=BL実行(店別セール発注製品マスタ登録).ディシジョン概要=【設定値条件】製品世代マスタ.取扱フラグ(7桁目) = "2"
</t>
    <phoneticPr fontId="1"/>
  </si>
  <si>
    <t xml:space="preserve">ディシジョン(BL)
ディシジョンID=D-2.ディシジョンNO=63.ディシジョン名=BL実行(店別セール発注製品マスタ登録).ディシジョン概要=【結合条件不一致】製品世代マスタ.取扱フラグ(7桁目) = "1"出荷先世代マスタ.取扱フラグ(7桁目) = "2"
</t>
    <phoneticPr fontId="1"/>
  </si>
  <si>
    <t xml:space="preserve">ディシジョン(BL)
ディシジョンID=D-2.ディシジョンNO=64.ディシジョン名=BL実行(店別セール発注製品マスタ登録).ディシジョン概要=【設定値条件】製品世代マスタ.取扱フラグ(8桁目) = "2"
</t>
    <phoneticPr fontId="1"/>
  </si>
  <si>
    <t xml:space="preserve">ディシジョン(BL)
ディシジョンID=D-2.ディシジョンNO=65.ディシジョン名=BL実行(店別セール発注製品マスタ登録).ディシジョン概要=【結合条件不一致】製品世代マスタ.取扱フラグ(8桁目) = "1"出荷先世代マスタ.取扱フラグ(8桁目) = "2"
</t>
    <phoneticPr fontId="1"/>
  </si>
  <si>
    <t xml:space="preserve">ディシジョン(BL)
ディシジョンID=D-2.ディシジョンNO=66.ディシジョン名=BL実行(店別セール発注製品マスタ登録).ディシジョン概要=【設定値条件】製品世代マスタ.取扱フラグ(17桁目) = "2"
</t>
    <phoneticPr fontId="1"/>
  </si>
  <si>
    <t xml:space="preserve">ディシジョン(BL)
ディシジョンID=D-2.ディシジョンNO=67.ディシジョン名=BL実行(店別セール発注製品マスタ登録).ディシジョン概要=【結合条件不一致】製品世代マスタ.取扱フラグ(17桁目) = "1"出荷先世代マスタ.取扱フラグ(17桁目) = "2"
</t>
    <phoneticPr fontId="1"/>
  </si>
  <si>
    <t xml:space="preserve">ディシジョン(BL)
ディシジョンID=D-2.ディシジョンNO=68.ディシジョン名=BL実行(店別セール発注製品マスタ登録).ディシジョン概要=【設定値条件】製品世代マスタ.取扱フラグ(18桁目) = "2"
</t>
    <phoneticPr fontId="1"/>
  </si>
  <si>
    <t xml:space="preserve">ディシジョン(BL)
ディシジョンID=D-2.ディシジョンNO=69.ディシジョン名=BL実行(店別セール発注製品マスタ登録).ディシジョン概要=【結合条件不一致】製品世代マスタ.取扱フラグ(18桁目) = "1"出荷先世代マスタ.取扱フラグ(18桁目) = "2"
</t>
    <phoneticPr fontId="1"/>
  </si>
  <si>
    <t xml:space="preserve">ディシジョン(BL)
ディシジョンID=D-2.ディシジョンNO=70.ディシジョン名=BL実行(店別セール発注製品マスタ登録).ディシジョン概要=【設定値条件】製品世代マスタ.取扱フラグ(19桁目) = "2"
</t>
    <phoneticPr fontId="1"/>
  </si>
  <si>
    <t xml:space="preserve">ディシジョン(BL)
ディシジョンID=D-2.ディシジョンNO=71.ディシジョン名=BL実行(店別セール発注製品マスタ登録).ディシジョン概要=【結合条件不一致】製品世代マスタ.取扱フラグ(19桁目) = "1"出荷先世代マスタ.取扱フラグ(19桁目) = "2"
</t>
    <phoneticPr fontId="1"/>
  </si>
  <si>
    <t xml:space="preserve">ディシジョン(BL)
ディシジョンID=D-2.ディシジョンNO=72.ディシジョン名=BL実行(店別セール発注製品マスタ登録).ディシジョン概要=【設定値条件】製品世代マスタ.取扱フラグ(20桁目) = "2"
</t>
    <phoneticPr fontId="1"/>
  </si>
  <si>
    <t xml:space="preserve">ディシジョン(BL)
ディシジョンID=D-2.ディシジョンNO=73.ディシジョン名=BL実行(店別セール発注製品マスタ登録).ディシジョン概要=【結合条件不一致】製品世代マスタ.取扱フラグ(20桁目) = "1"出荷先世代マスタ.取扱フラグ(20桁目) = "2"
</t>
    <phoneticPr fontId="1"/>
  </si>
  <si>
    <t xml:space="preserve">ディシジョン(BL)
ディシジョンID=D-2.ディシジョンNO=74.ディシジョン名=BL実行(店別セール発注製品マスタ登録).ディシジョン概要=【設定値条件】製品世代マスタ.取扱フラグ(21桁目) = "2"
</t>
    <phoneticPr fontId="1"/>
  </si>
  <si>
    <t xml:space="preserve">ディシジョン(BL)
ディシジョンID=D-2.ディシジョンNO=75.ディシジョン名=BL実行(店別セール発注製品マスタ登録).ディシジョン概要=【結合条件不一致】製品世代マスタ.取扱フラグ(21桁目) = "1"出荷先世代マスタ.取扱フラグ(21桁目) = "2"
</t>
    <phoneticPr fontId="1"/>
  </si>
  <si>
    <t xml:space="preserve">ディシジョン(BL)
ディシジョンID=D-2.ディシジョンNO=76.ディシジョン名=BL実行(店別セール発注製品マスタ登録).ディシジョン概要=【設定値条件】製品世代マスタ.取扱フラグ(22桁目) = "2"
</t>
    <phoneticPr fontId="1"/>
  </si>
  <si>
    <t xml:space="preserve">ディシジョン(BL)
ディシジョンID=D-2.ディシジョンNO=77.ディシジョン名=BL実行(店別セール発注製品マスタ登録).ディシジョン概要=【結合条件不一致】製品世代マスタ.取扱フラグ(22桁目) = "1"出荷先世代マスタ.取扱フラグ(22桁目) = "2"
</t>
    <phoneticPr fontId="1"/>
  </si>
  <si>
    <t xml:space="preserve">ディシジョン(BL)
ディシジョンID=D-2.ディシジョンNO=78.ディシジョン名=BL実行(店別セール発注製品マスタ登録).ディシジョン概要=【設定値条件】製品世代マスタ.取扱フラグ(23桁目) = "2"
</t>
    <phoneticPr fontId="1"/>
  </si>
  <si>
    <t xml:space="preserve">ディシジョン(BL)
ディシジョンID=D-2.ディシジョンNO=79.ディシジョン名=BL実行(店別セール発注製品マスタ登録).ディシジョン概要=【結合条件不一致】製品世代マスタ.取扱フラグ(23桁目) = "1"出荷先世代マスタ.取扱フラグ(23桁目) = "2"
</t>
    <phoneticPr fontId="1"/>
  </si>
  <si>
    <t xml:space="preserve">ディシジョン(BL)
ディシジョンID=D-2.ディシジョンNO=80.ディシジョン名=BL実行(店別セール発注製品マスタ登録).ディシジョン概要=【設定値条件】製品世代マスタ.取扱フラグ(24桁目) = "2"
</t>
    <phoneticPr fontId="1"/>
  </si>
  <si>
    <t xml:space="preserve">ディシジョン(BL)
ディシジョンID=D-2.ディシジョンNO=81.ディシジョン名=BL実行(店別セール発注製品マスタ登録).ディシジョン概要=【結合条件不一致】製品世代マスタ.取扱フラグ(24桁目) = "1"出荷先世代マスタ.取扱フラグ(24桁目) = "2"
</t>
    <phoneticPr fontId="1"/>
  </si>
  <si>
    <t xml:space="preserve">ディシジョン(BL)
ディシジョンID=D-2.ディシジョンNO=82.ディシジョン名=BL実行(店別セール発注製品マスタ登録).ディシジョン概要=【結合条件不一致】店舗マスタ.レジデータ店舗IDと不一致
</t>
    <phoneticPr fontId="1"/>
  </si>
  <si>
    <t xml:space="preserve">ディシジョン(BL)
ディシジョンID=D-2.ディシジョンNO=83.ディシジョン名=BL実行(店別セール発注製品マスタ登録).ディシジョン概要=登録条件全一致レジデータ店舗マスタ.適用開始日 = セール発注製品マスタ.廻送日付開始(境界値)レジデータ店舗マスタ.適用終了日 = セール発注製品マスタ.廻送日付開始+1(Not境界値)
</t>
    <phoneticPr fontId="1"/>
  </si>
  <si>
    <t xml:space="preserve">ディシジョン(BL)
ディシジョンID=D-2.ディシジョンNO=84.ディシジョン名=BL実行(店別セール発注製品マスタ登録).ディシジョン概要=登録条件全一致レジデータ店舗マスタ.適用開始日 = セール発注製品マスタ.廻送日付開始-1(Not境界値)レジデータ店舗マスタ.適用終了日 = セール発注製品マスタ.廻送日付開始(境界値)
</t>
    <phoneticPr fontId="1"/>
  </si>
  <si>
    <t xml:space="preserve">ディシジョン(BL)
ディシジョンID=D-2.ディシジョンNO=85.ディシジョン名=BL実行(店別セール発注製品マスタ登録).ディシジョン概要=【結合条件不一致】レジデータ店舗マスタ.適用開始日 = セール発注製品マスタ.廻送日付開始+1レジデータ店舗マスタ.適用終了日 = セール発注製品マスタ.廻送日付開始+1
</t>
    <phoneticPr fontId="1"/>
  </si>
  <si>
    <t xml:space="preserve">ディシジョン(BL)
ディシジョンID=D-2.ディシジョンNO=86.ディシジョン名=BL実行(店別セール発注製品マスタ登録).ディシジョン概要=【結合条件不一致】レジデータ店舗マスタ.適用開始日 = セール発注製品マスタ.廻送日付開始-1レジデータ店舗マスタ.適用終了日 = セール発注製品マスタ.廻送日付開始-1
</t>
    <phoneticPr fontId="1"/>
  </si>
  <si>
    <t xml:space="preserve">ディシジョン(BL)
ディシジョンID=D-2.ディシジョンNO=87.ディシジョン名=BL実行(店別セール発注製品マスタ登録).ディシジョン概要=【結合条件不一致】店舗マスタ.計上先組織IDと不一致
</t>
    <phoneticPr fontId="1"/>
  </si>
  <si>
    <t xml:space="preserve">ディシジョン(BL)
ディシジョンID=D-2.ディシジョンNO=88.ディシジョン名=BL実行(店別セール発注製品マスタ登録).ディシジョン概要=登録条件全一致組織マスタ.適用開始日 = セール発注製品マスタ.廻送日付開始(境界値)組織マスタ.適用終了日 = セール発注製品マスタ.廻送日付開始+1(Not境界値)
</t>
    <phoneticPr fontId="1"/>
  </si>
  <si>
    <t xml:space="preserve">ディシジョン(BL)
ディシジョンID=D-2.ディシジョンNO=89.ディシジョン名=BL実行(店別セール発注製品マスタ登録).ディシジョン概要=登録条件全一致組織マスタ.適用開始日 = セール発注製品マスタ.廻送日付開始-1(Not境界値)組織マスタ.適用終了日 = セール発注製品マスタ.廻送日付開始(境界値)
</t>
    <phoneticPr fontId="1"/>
  </si>
  <si>
    <t xml:space="preserve">ディシジョン(BL)
ディシジョンID=D-2.ディシジョンNO=90.ディシジョン名=BL実行(店別セール発注製品マスタ登録).ディシジョン概要=【結合条件不一致】組織マスタ.適用開始日 = セール発注製品マスタ.廻送日付開始+1組織マスタ.適用終了日 = セール発注製品マスタ.廻送日付開始+1
</t>
    <phoneticPr fontId="1"/>
  </si>
  <si>
    <t xml:space="preserve">ディシジョン(BL)
ディシジョンID=D-2.ディシジョンNO=91.ディシジョン名=BL実行(店別セール発注製品マスタ登録).ディシジョン概要=【結合条件不一致】組織マスタ.適用開始日 = セール発注製品マスタ.廻送日付開始-1組織マスタ.適用終了日 = セール発注製品マスタ.廻送日付開始-1
</t>
    <phoneticPr fontId="1"/>
  </si>
  <si>
    <t xml:space="preserve">ディシジョン(BL)
ディシジョンID=D-2.ディシジョンNO=92.ディシジョン名=BL実行(店別セール発注製品マスタ登録).ディシジョン概要=【結合条件不一致】店舗形態別商品販売条件マスタ.店舗形態コードと不一致
</t>
    <phoneticPr fontId="1"/>
  </si>
  <si>
    <t xml:space="preserve">ディシジョン(BL)
ディシジョンID=D-2.ディシジョンNO=93.ディシジョン名=BL実行(店別セール発注製品マスタ登録).ディシジョン概要=【結合条件不一致】[区分値.組織廃止フラグ.活動中]と不一致
</t>
    <phoneticPr fontId="1"/>
  </si>
  <si>
    <t xml:space="preserve">ディシジョン(BL)
ディシジョンID=D-2.ディシジョンNO=94.ディシジョン名=BL実行(店別セール発注製品マスタ登録).ディシジョン概要=【設定値条件】出荷先世代.納品単価区分 = [区分値.納品単価区分.直営]
</t>
    <phoneticPr fontId="1"/>
  </si>
  <si>
    <t xml:space="preserve">ディシジョン(BL)
ディシジョンID=D-2.ディシジョンNO=95.ディシジョン名=BL実行(店別セール発注製品マスタ登録).ディシジョン概要=【設定値条件】出荷先世代.納品単価区分 = [区分値.納品単価区分.FC0]
</t>
    <phoneticPr fontId="1"/>
  </si>
  <si>
    <t xml:space="preserve">ディシジョン(BL)
ディシジョンID=D-2.ディシジョンNO=96.ディシジョン名=BL実行(店別セール発注製品マスタ登録).ディシジョン概要=【設定値条件】出荷先世代.納品単価区分 = [区分値.納品単価区分.FC1]
</t>
    <phoneticPr fontId="1"/>
  </si>
  <si>
    <t xml:space="preserve">ディシジョン(BL)
ディシジョンID=D-2.ディシジョンNO=97.ディシジョン名=BL実行(店別セール発注製品マスタ登録).ディシジョン概要=【設定値条件】出荷先世代.納品単価区分 = [区分値.納品単価区分.FC2]
</t>
    <phoneticPr fontId="1"/>
  </si>
  <si>
    <t xml:space="preserve">ディシジョン(BL)
ディシジョンID=D-2.ディシジョンNO=98.ディシジョン名=BL実行(店別セール発注製品マスタ登録).ディシジョン概要=【設定値条件】出荷先世代.納品単価区分 = [区分値.納品単価区分.FFS]
</t>
    <phoneticPr fontId="1"/>
  </si>
  <si>
    <t xml:space="preserve">ディシジョン(BL)
ディシジョンID=D-2.ディシジョンNO=99.ディシジョン名=BL実行(店別セール発注製品マスタ登録).ディシジョン概要=【設定値条件】セールマスタ.セール区分 = [区分値.セール区分.長期LT通常発注]
</t>
    <phoneticPr fontId="1"/>
  </si>
  <si>
    <t xml:space="preserve">ディシジョン(BL)
ディシジョンID=D-2.ディシジョンNO=100.ディシジョン名=BL実行(店別セール発注製品マスタ登録).ディシジョン概要=【設定値条件】セールマスタ.セール区分が[区分値.セール区分.長期LT通常発注]以外
</t>
    <phoneticPr fontId="1"/>
  </si>
  <si>
    <t xml:space="preserve">削除フラグチェック
CRUDNo=1-2,対象テーブル=セールマスタ
削除フラグ=未削除
</t>
    <phoneticPr fontId="1"/>
  </si>
  <si>
    <t>削除フラグが検索条件または結合条件で指定されること</t>
    <phoneticPr fontId="1"/>
  </si>
  <si>
    <t xml:space="preserve">削除フラグチェック
CRUDNo=1-2,対象テーブル=セール発注製品マスタ
削除フラグ=未削除
</t>
    <phoneticPr fontId="1"/>
  </si>
  <si>
    <t xml:space="preserve">削除フラグチェック
CRUDNo=1-2,対象テーブル=商品マスタ
削除フラグ=未削除
</t>
    <phoneticPr fontId="1"/>
  </si>
  <si>
    <t xml:space="preserve">削除フラグチェック
CRUDNo=1-2,対象テーブル=商品分類関連マスタ
削除フラグ=未削除
</t>
    <phoneticPr fontId="1"/>
  </si>
  <si>
    <t xml:space="preserve">削除フラグチェック
CRUDNo=1-2,対象テーブル=商品分類展開マスタ
削除フラグ=未削除
</t>
    <phoneticPr fontId="1"/>
  </si>
  <si>
    <t xml:space="preserve">削除フラグチェック
CRUDNo=1-2,対象テーブル=店舗形態別商品販売条件マスタ
削除フラグ=未削除
</t>
    <phoneticPr fontId="1"/>
  </si>
  <si>
    <t xml:space="preserve">削除フラグチェック
CRUDNo=1-2,対象テーブル=製品マスタ
削除フラグ=未削除
</t>
    <phoneticPr fontId="1"/>
  </si>
  <si>
    <t xml:space="preserve">削除フラグチェック
CRUDNo=1-2,対象テーブル=製品世代マスタ
削除フラグ=未削除
</t>
    <phoneticPr fontId="1"/>
  </si>
  <si>
    <t xml:space="preserve">削除フラグチェック
CRUDNo=1-2,対象テーブル=仕入先マスタ
削除フラグ=未削除
</t>
    <phoneticPr fontId="1"/>
  </si>
  <si>
    <t xml:space="preserve">削除フラグチェック
CRUDNo=1-2,対象テーブル=仕入先別カレンダーマスタ
削除フラグ=未削除
</t>
    <phoneticPr fontId="1"/>
  </si>
  <si>
    <t xml:space="preserve">削除フラグチェック
CRUDNo=1-2,対象テーブル=店舗マスタ
削除フラグ=未削除
</t>
    <phoneticPr fontId="1"/>
  </si>
  <si>
    <t xml:space="preserve">削除フラグチェック
CRUDNo=1-2,対象テーブル=出荷先世代マスタ
削除フラグ=未削除
</t>
    <phoneticPr fontId="1"/>
  </si>
  <si>
    <t xml:space="preserve">削除フラグチェック
CRUDNo=1-2,対象テーブル=レジデータ店舗マスタ
削除フラグ=未削除
</t>
    <phoneticPr fontId="1"/>
  </si>
  <si>
    <t>＊</t>
    <phoneticPr fontId="1"/>
  </si>
  <si>
    <t>24</t>
    <phoneticPr fontId="27"/>
  </si>
  <si>
    <t>01</t>
    <phoneticPr fontId="27"/>
  </si>
  <si>
    <t>削除フラグチェック
対象テーブル=製品世代マスタ
削除フラグ=削除</t>
    <phoneticPr fontId="27"/>
  </si>
  <si>
    <t>D-2-1
ディシジョン(BL)
ディシジョンID=D-2.ディシジョンNO=1.ディシジョン名=BL実行(店別セール発注製品マスタ登録).ディシジョン概要=登録条件全一致セールマスタ.最終参照可能日 = システム.業務日付+1
D-2-25
ディシジョン(BL)
ディシジョンID=D-2.ディシジョンNO=25.ディシジョン名=BL実行(店別セール発注製品マスタ登録).ディシジョン概要=登録条件全一致製品世代マスタ.適用開始日 = セール発注製品マスタ.廻送日付開始(境界値)製品世代マスタ.適用終了日 = セール発注製品マスタ.廻送日付開始+1(Not境界値)
削除フラグチェック
CRUDNo=1-2,対象テーブル=セールマスタ
削除フラグ=未削除</t>
    <phoneticPr fontId="27"/>
  </si>
  <si>
    <t>D-2-2
ディシジョン(BL)
ディシジョンID=D-2.ディシジョンNO=2.ディシジョン名=BL実行(店別セール発注製品マスタ登録).ディシジョン概要=登録条件全一致セールマスタ.最終参照可能日 = システム.業務日付
D-2-26
ディシジョン(BL)
ディシジョンID=D-2.ディシジョンNO=26.ディシジョン名=BL実行(店別セール発注製品マスタ登録).ディシジョン概要=登録条件全一致製品世代マスタ.適用開始日 = セール発注製品マスタ.廻送日付開始-1(Not境界値)製品世代マスタ.適用終了日 = セール発注製品マスタ.廻送日付開始(境界値)</t>
    <phoneticPr fontId="27"/>
  </si>
  <si>
    <t>D-2-3
ディシジョン(BL)
ディシジョンID=D-2.ディシジョンNO=3.ディシジョン名=BL実行(店別セール発注製品マスタ登録).ディシジョン概要=【抽出条件不一致】セールマスタ.最終参照可能日 = システム.業務日付-1
D-2-27
ディシジョン(BL)
ディシジョンID=D-2.ディシジョンNO=27.ディシジョン名=BL実行(店別セール発注製品マスタ登録).ディシジョン概要=【結合条件不一致】製品世代マスタ.適用開始日 = セール発注製品マスタ.廻送日付開始+1製品世代マスタ.適用終了日 = セール発注製品マスタ.廻送日付開始+1</t>
    <phoneticPr fontId="27"/>
  </si>
  <si>
    <t>削除フラグチェック
対象テーブル=セールマスタ
削除フラグ=削除
D-2-29
ディシジョン(BL)
ディシジョンID=D-2.ディシジョンNO=29.ディシジョン名=BL実行(店別セール発注製品マスタ登録).ディシジョン概要=【結合条件不一致】製品世代マスタ.品番 = [000]</t>
    <phoneticPr fontId="27"/>
  </si>
  <si>
    <t>2-0001</t>
    <phoneticPr fontId="1"/>
  </si>
  <si>
    <t>2-0002</t>
    <phoneticPr fontId="1"/>
  </si>
  <si>
    <t>2-0003</t>
    <phoneticPr fontId="1"/>
  </si>
  <si>
    <t>130-0001</t>
    <phoneticPr fontId="1"/>
  </si>
  <si>
    <t>130-0002</t>
    <phoneticPr fontId="1"/>
  </si>
  <si>
    <t>130-0003</t>
    <phoneticPr fontId="1"/>
  </si>
  <si>
    <t>98</t>
    <phoneticPr fontId="27"/>
  </si>
  <si>
    <t>product_id</t>
    <phoneticPr fontId="27"/>
  </si>
  <si>
    <t>1</t>
    <phoneticPr fontId="27"/>
  </si>
  <si>
    <t>22</t>
    <phoneticPr fontId="27"/>
  </si>
  <si>
    <t>2</t>
    <phoneticPr fontId="27"/>
  </si>
  <si>
    <t>3</t>
    <phoneticPr fontId="27"/>
  </si>
  <si>
    <t>4</t>
    <phoneticPr fontId="27"/>
  </si>
  <si>
    <t>10</t>
    <phoneticPr fontId="27"/>
  </si>
  <si>
    <t>分類</t>
  </si>
  <si>
    <t>001</t>
  </si>
  <si>
    <t>R10283</t>
  </si>
  <si>
    <t>testUser</t>
  </si>
  <si>
    <t>127.0.0.1</t>
  </si>
  <si>
    <t>D-2-1
ディシジョン(BL)
ディシジョンID=D-2.ディシジョンNO=1.ディシジョン名=BL実行(店別セール発注製品マスタ登録).ディシジョン概要=登録条件全一致セールマスタ.最終参照可能日 = システム.業務日付+1
削除フラグチェック
CRUDNo=1-2,対象テーブル=製品マスタ
削除フラグ=未削除</t>
    <phoneticPr fontId="27"/>
  </si>
  <si>
    <t>D-2-2
ディシジョン(BL)
ディシジョンID=D-2.ディシジョンNO=2.ディシジョン名=BL実行(店別セール発注製品マスタ登録).ディシジョン概要=登録条件全一致セールマスタ.最終参照可能日 = システム.業務日付</t>
    <phoneticPr fontId="27"/>
  </si>
  <si>
    <t>削除フラグチェック
対象テーブル=店舗マスタ
削除フラグ=削除</t>
    <phoneticPr fontId="27"/>
  </si>
  <si>
    <t>store_id</t>
    <phoneticPr fontId="27"/>
  </si>
  <si>
    <t>ship_to_id</t>
    <phoneticPr fontId="27"/>
  </si>
  <si>
    <t>削除フラグチェック
対象テーブル=出荷先世代マスタ
削除フラグ=削除</t>
    <phoneticPr fontId="27"/>
  </si>
  <si>
    <t>削除フラグチェック
CRUDNo=1-2,対象テーブル=仕入先別カレンダーマスタ
削除フラグ=未削除</t>
    <phoneticPr fontId="27"/>
  </si>
  <si>
    <t>削除フラグチェック
対象テーブル=仕入先マスタ
削除フラグ=削除</t>
    <phoneticPr fontId="27"/>
  </si>
  <si>
    <t>削除フラグチェック
対象テーブル=製品マスタ
削除フラグ=削除</t>
    <phoneticPr fontId="27"/>
  </si>
  <si>
    <t>削除フラグチェック
対象テーブル=商品マスタ
削除フラグ=削除</t>
    <phoneticPr fontId="27"/>
  </si>
  <si>
    <t>削除フラグチェック
対象テーブル=製品世代マスタ
削除フラグ=削除</t>
    <phoneticPr fontId="27"/>
  </si>
  <si>
    <t>08</t>
    <phoneticPr fontId="27"/>
  </si>
  <si>
    <t>ディシジョン(BL)
ディシジョンID=D-2.ディシジョンNO=51.ディシジョン名=BL実行(店別セール発注製品マスタ登録).ディシジョン概要=【結合条件不一致】製品世代マスタ.取扱フラグ(1桁目) = {Qt}1{Qt}出荷先世代マスタ.取扱フラグ(1桁目)が1以外</t>
    <phoneticPr fontId="29"/>
  </si>
  <si>
    <t>ディシジョン(BL)
ディシジョンID=D-2.ディシジョンNO=52.ディシジョン名=BL実行(店別セール発注製品マスタ登録).ディシジョン概要=登録条件全一致製品世代マスタ.取扱フラグ(1桁目) = {Qt}1{Qt}出荷先世代マスタ.取扱フラグ(1桁目) = {Qt}1{Qt}</t>
    <phoneticPr fontId="29"/>
  </si>
  <si>
    <t>ディシジョン(BL)
ディシジョンID=D-2.ディシジョンNO=53.ディシジョン名=BL実行(店別セール発注製品マスタ登録).ディシジョン概要=【設定値条件】製品世代マスタ.取扱フラグ(2桁目) が1以外</t>
  </si>
  <si>
    <t>ディシジョン(BL)
ディシジョンID=D-2.ディシジョンNO=54.ディシジョン名=BL実行(店別セール発注製品マスタ登録).ディシジョン概要=【結合条件不一致】製品世代マスタ.取扱フラグ(2桁目) = {Qt}1{Qt}出荷先世代マスタ.取扱フラグ(2桁目)が1以外</t>
    <phoneticPr fontId="29"/>
  </si>
  <si>
    <t>ディシジョン(BL)
ディシジョンID=D-2.ディシジョンNO=55.ディシジョン名=BL実行(店別セール発注製品マスタ登録).ディシジョン概要=登録条件全一致製品世代マスタ.取扱フラグ(2桁目) = {Qt}1{Qt}出荷先世代マスタ.取扱フラグ(2桁目= {Qt}1{Qt}</t>
  </si>
  <si>
    <t>ディシジョン(BL)
ディシジョンID=D-2.ディシジョンNO=56.ディシジョン名=BL実行(店別セール発注製品マスタ登録).ディシジョン概要=【設定値条件】製品世代マスタ.取扱フラグ(3桁目)が1以外</t>
    <phoneticPr fontId="29"/>
  </si>
  <si>
    <t>ディシジョン(BL)
ディシジョンID=D-2.ディシジョンNO=57.ディシジョン名=BL実行(店別セール発注製品マスタ登録).ディシジョン概要=【結合条件不一致】製品世代マスタ.取扱フラグ(3桁目) = {Qt}1{Qt}出荷先世代マスタ.取扱フラグ(3桁目)が1以外</t>
  </si>
  <si>
    <t>ディシジョン(BL)
ディシジョンID=D-2.ディシジョンNO=58.ディシジョン名=BL実行(店別セール発注製品マスタ登録).ディシジョン概要=登録条件全一致製品世代マスタ.取扱フラグ(3桁目) = {Qt}1{Qt}出荷先世代マスタ.取扱フラグ(3桁目)= {Qt}1{Qt}</t>
    <phoneticPr fontId="29"/>
  </si>
  <si>
    <t>ディシジョン(BL)
ディシジョンID=D-2.ディシジョンNO=59.ディシジョン名=BL実行(店別セール発注製品マスタ登録).ディシジョン概要=【設定値条件】製品世代マスタ.取扱フラグ(4桁目) が1以外</t>
  </si>
  <si>
    <t>ディシジョン(BL)
ディシジョンID=D-2.ディシジョンNO=60.ディシジョン名=BL実行(店別セール発注製品マスタ登録).ディシジョン概要=【結合条件不一致】製品世代マスタ.取扱フラグ(4桁目) = {Qt}1{Qt}出荷先世代マスタ.取扱フラグ(4桁目)が1以外</t>
    <phoneticPr fontId="29"/>
  </si>
  <si>
    <t>ディシジョン(BL)
ディシジョンID=D-2.ディシジョンNO=61.ディシジョン名=BL実行(店別セール発注製品マスタ登録).ディシジョン概要=登録条件全一致製品世代マスタ.取扱フラグ(4桁目) = {Qt}1{Qt}出荷先世代マスタ.取扱フラグ(4桁目) = {Qt}1{Qt}</t>
    <phoneticPr fontId="29"/>
  </si>
  <si>
    <t>ディシジョン(BL)
ディシジョンID=D-2.ディシジョンNO=62.ディシジョン名=BL実行(店別セール発注製品マスタ登録).ディシジョン概要=【設定値条件】製品世代マスタ.取扱フラグ(5桁目) が1以外</t>
  </si>
  <si>
    <t>ディシジョン(BL)
ディシジョンID=D-2.ディシジョンNO=63.ディシジョン名=BL実行(店別セール発注製品マスタ登録).ディシジョン概要=【結合条件不一致】製品世代マスタ.取扱フラグ(5桁目) = {Qt}1{Qt}出荷先世代マスタ.取扱フラグ(5桁目) が1以外</t>
  </si>
  <si>
    <t>ディシジョン(BL)
ディシジョンID=D-2.ディシジョンNO=64.ディシジョン名=BL実行(店別セール発注製品マスタ登録).ディシジョン概要=登録条件全一致製品世代マスタ.取扱フラグ(5桁目) = {Qt}1{Qt}出荷先世代マスタ.取扱フラグ(5桁目)  = {Qt}1{Qt}</t>
  </si>
  <si>
    <t>ディシジョン(BL)
ディシジョンID=D-2.ディシジョンNO=65.ディシジョン名=BL実行(店別セール発注製品マスタ登録).ディシジョン概要=【設定値条件】製品世代マスタ.取扱フラグ(6桁目) が1以外</t>
  </si>
  <si>
    <t>ディシジョン(BL)
ディシジョンID=D-2.ディシジョンNO=66.ディシジョン名=BL実行(店別セール発注製品マスタ登録).ディシジョン概要=【結合条件不一致】製品世代マスタ.取扱フラグ(6桁目) = {Qt}1{Qt}出荷先世代マスタ.取扱フラグ(6桁目) が1以外</t>
  </si>
  <si>
    <t>ディシジョン(BL)
ディシジョンID=D-2.ディシジョンNO=67.ディシジョン名=BL実行(店別セール発注製品マスタ登録).ディシジョン概要=登録条件全一致製品世代マスタ.取扱フラグ(6桁目) = {Qt}1{Qt}出荷先世代マスタ.取扱フラグ(6桁目)= {Qt}1{Qt}</t>
  </si>
  <si>
    <t>ディシジョン(BL)
ディシジョンID=D-2.ディシジョンNO=68.ディシジョン名=BL実行(店別セール発注製品マスタ登録).ディシジョン概要=【設定値条件】製品世代マスタ.取扱フラグ(7桁目) が1以外</t>
  </si>
  <si>
    <t>ディシジョン(BL)
ディシジョンID=D-2.ディシジョンNO=69.ディシジョン名=BL実行(店別セール発注製品マスタ登録).ディシジョン概要=【結合条件不一致】製品世代マスタ.取扱フラグ(7桁目) = {Qt}1{Qt}出荷先世代マスタ.取扱フラグ(7桁目) が1以外</t>
  </si>
  <si>
    <t>ディシジョン(BL)
ディシジョンID=D-2.ディシジョンNO=70.ディシジョン名=BL実行(店別セール発注製品マスタ登録).ディシジョン概要=登録条件全一致製品世代マスタ.取扱フラグ(7桁目) = {Qt}1{Qt}出荷先世代マスタ.取扱フラグ(7桁目) = {Qt}1{Qt}</t>
  </si>
  <si>
    <t>ディシジョン(BL)
ディシジョンID=D-2.ディシジョンNO=71.ディシジョン名=BL実行(店別セール発注製品マスタ登録).ディシジョン概要=【設定値条件】製品世代マスタ.取扱フラグ(8桁目) が1以外</t>
  </si>
  <si>
    <t>ディシジョン(BL)
ディシジョンID=D-2.ディシジョンNO=72.ディシジョン名=BL実行(店別セール発注製品マスタ登録).ディシジョン概要=【結合条件不一致】製品世代マスタ.取扱フラグ(8桁目) = {Qt}1{Qt}出荷先世代マスタ.取扱フラグ(8桁目) が1以外</t>
  </si>
  <si>
    <t>ディシジョン(BL)
ディシジョンID=D-2.ディシジョンNO=73.ディシジョン名=BL実行(店別セール発注製品マスタ登録).ディシジョン概要=登録条件全一致製品世代マスタ.取扱フラグ(8桁目) = {Qt}1{Qt}出荷先世代マスタ.取扱フラグ(8桁目) = {Qt}1{Qt}</t>
  </si>
  <si>
    <t>ディシジョン(BL)
ディシジョンID=D-2.ディシジョンNO=74.ディシジョン名=BL実行(店別セール発注製品マスタ登録).ディシジョン概要=【設定値条件】製品世代マスタ.取扱フラグ(17桁目) が1以外</t>
  </si>
  <si>
    <t>ディシジョン(BL)
ディシジョンID=D-2.ディシジョンNO=75.ディシジョン名=BL実行(店別セール発注製品マスタ登録).ディシジョン概要=【結合条件不一致】製品世代マスタ.取扱フラグ(17桁目) = {Qt}1{Qt}出荷先世代マスタ.取扱フラグ(17桁目) が1以外</t>
  </si>
  <si>
    <t>ディシジョン(BL)
ディシジョンID=D-2.ディシジョンNO=76.ディシジョン名=BL実行(店別セール発注製品マスタ登録).ディシジョン概要=登録条件全一致製品世代マスタ.取扱フラグ(17桁目) = {Qt}1{Qt}出荷先世代マスタ.取扱フラグ(17桁目)= {Qt}1{Qt}</t>
  </si>
  <si>
    <t>ディシジョン(BL)
ディシジョンID=D-2.ディシジョンNO=77.ディシジョン名=BL実行(店別セール発注製品マスタ登録).ディシジョン概要=【設定値条件】製品世代マスタ.取扱フラグ(18桁目) が1以外</t>
  </si>
  <si>
    <t>ディシジョン(BL)
ディシジョンID=D-2.ディシジョンNO=78.ディシジョン名=BL実行(店別セール発注製品マスタ登録).ディシジョン概要=【結合条件不一致】製品世代マスタ.取扱フラグ(18桁目) = {Qt}1{Qt}出荷先世代マスタ.取扱フラグ(18桁目)が1以外</t>
  </si>
  <si>
    <t>ディシジョン(BL)
ディシジョンID=D-2.ディシジョンNO=79.ディシジョン名=BL実行(店別セール発注製品マスタ登録).ディシジョン概要=登録条件全一致製品世代マスタ.取扱フラグ(18桁目) = {Qt}1{Qt}出荷先世代マスタ.取扱フラグ(18桁目) = {Qt}1{Qt}</t>
  </si>
  <si>
    <t>ディシジョン(BL)
ディシジョンID=D-2.ディシジョンNO=80.ディシジョン名=BL実行(店別セール発注製品マスタ登録).ディシジョン概要=【設定値条件】製品世代マスタ.取扱フラグ(19桁目) が1以外</t>
  </si>
  <si>
    <t>ディシジョン(BL)
ディシジョンID=D-2.ディシジョンNO=81.ディシジョン名=BL実行(店別セール発注製品マスタ登録).ディシジョン概要=【結合条件不一致】製品世代マスタ.取扱フラグ(19桁目) = {Qt}1{Qt}出荷先世代マスタ.取扱フラグ(19桁目) が1以外</t>
  </si>
  <si>
    <t>ディシジョン(BL)
ディシジョンID=D-2.ディシジョンNO=82.ディシジョン名=BL実行(店別セール発注製品マスタ登録).ディシジョン概要=登録条件全一致製品世代マスタ.取扱フラグ(19桁目) = {Qt}1{Qt}出荷先世代マスタ.取扱フラグ(19桁目)  = {Qt}1{Qt}</t>
  </si>
  <si>
    <t>ディシジョン(BL)
ディシジョンID=D-2.ディシジョンNO=83.ディシジョン名=BL実行(店別セール発注製品マスタ登録).ディシジョン概要=【設定値条件】製品世代マスタ.取扱フラグ(20桁目) が1以外</t>
  </si>
  <si>
    <t>ディシジョン(BL)
ディシジョンID=D-2.ディシジョンNO=84.ディシジョン名=BL実行(店別セール発注製品マスタ登録).ディシジョン概要=【結合条件不一致】製品世代マスタ.取扱フラグ(20桁目) = {Qt}1{Qt}出荷先世代マスタ.取扱フラグ(20桁目)が1以外</t>
  </si>
  <si>
    <t>ディシジョン(BL)
ディシジョンID=D-2.ディシジョンNO=85.ディシジョン名=BL実行(店別セール発注製品マスタ登録).ディシジョン概要=登録条件全一致製品世代マスタ.取扱フラグ(20桁目) = {Qt}1{Qt}出荷先世代マスタ.取扱フラグ(20桁目) = {Qt}1{Qt}</t>
  </si>
  <si>
    <t>ディシジョン(BL)
ディシジョンID=D-2.ディシジョンNO=86.ディシジョン名=BL実行(店別セール発注製品マスタ登録).ディシジョン概要=【設定値条件】製品世代マスタ.取扱フラグ(21桁目) が1以外</t>
  </si>
  <si>
    <t>ディシジョン(BL)
ディシジョンID=D-2.ディシジョンNO=87.ディシジョン名=BL実行(店別セール発注製品マスタ登録).ディシジョン概要=【結合条件不一致】製品世代マスタ.取扱フラグ(21桁目) = {Qt}1{Qt}出荷先世代マスタ.取扱フラグ(21桁目) が1以外</t>
  </si>
  <si>
    <t>ディシジョン(BL)
ディシジョンID=D-2.ディシジョンNO=88.ディシジョン名=BL実行(店別セール発注製品マスタ登録).ディシジョン概要=登録条件全一致製品世代マスタ.取扱フラグ(21桁目) = {Qt}1{Qt}出荷先世代マスタ.取扱フラグ(21桁目) = {Qt}1{Qt}</t>
  </si>
  <si>
    <t>ディシジョン(BL)
ディシジョンID=D-2.ディシジョンNO=89.ディシジョン名=BL実行(店別セール発注製品マスタ登録).ディシジョン概要=【設定値条件】製品世代マスタ.取扱フラグ(22桁目)が1以外</t>
  </si>
  <si>
    <t>ディシジョン(BL)
ディシジョンID=D-2.ディシジョンNO=90.ディシジョン名=BL実行(店別セール発注製品マスタ登録).ディシジョン概要=【結合条件不一致】製品世代マスタ.取扱フラグ(22桁目) = {Qt}1{Qt}出荷先世代マスタ.取扱フラグ(22桁目) が1以外</t>
  </si>
  <si>
    <t>ディシジョン(BL)
ディシジョンID=D-2.ディシジョンNO=91.ディシジョン名=BL実行(店別セール発注製品マスタ登録).ディシジョン概要=登録条件全一致製品世代マスタ.取扱フラグ(21桁目) = {Qt}1{Qt}出荷先世代マスタ.取扱フラグ(21桁目)= {Qt}1{Qt}</t>
  </si>
  <si>
    <t>ディシジョン(BL)
ディシジョンID=D-2.ディシジョンNO=92.ディシジョン名=BL実行(店別セール発注製品マスタ登録).ディシジョン概要=【設定値条件】製品世代マスタ.取扱フラグ(23桁目) が1以外</t>
  </si>
  <si>
    <t>ディシジョン(BL)
ディシジョンID=D-2.ディシジョンNO=93.ディシジョン名=BL実行(店別セール発注製品マスタ登録).ディシジョン概要=【結合条件不一致】製品世代マスタ.取扱フラグ(23桁目) = {Qt}1{Qt}出荷先世代マスタ.取扱フラグ(23桁目)が1以外</t>
  </si>
  <si>
    <t>ディシジョン(BL)
ディシジョンID=D-2.ディシジョンNO=94.ディシジョン名=BL実行(店別セール発注製品マスタ登録).ディシジョン概要=登録条件全一致製品世代マスタ.取扱フラグ(23桁目) = {Qt}1{Qt}出荷先世代マスタ.取扱フラグ(23桁目) = {Qt}1{Qt}</t>
  </si>
  <si>
    <t>ディシジョン(BL)
ディシジョンID=D-2.ディシジョンNO=95.ディシジョン名=BL実行(店別セール発注製品マスタ登録).ディシジョン概要=【設定値条件】製品世代マスタ.取扱フラグ(24桁目) が1以外</t>
  </si>
  <si>
    <t>ディシジョン(BL)
ディシジョンID=D-2.ディシジョンNO=96.ディシジョン名=BL実行(店別セール発注製品マスタ登録).ディシジョン概要=【結合条件不一致】製品世代マスタ.取扱フラグ(24桁目) = {Qt}1{Qt}出荷先世代マスタ.取扱フラグ(24桁目) が1以外</t>
  </si>
  <si>
    <t>ディシジョン(BL)
ディシジョンID=D-2.ディシジョンNO=97.ディシジョン名=BL実行(店別セール発注製品マスタ登録).ディシジョン概要=登録条件全一致製品世代マスタ.取扱フラグ(24桁目) = {Qt}1{Qt}出荷先世代マスタ.取扱フラグ(24桁目)  = {Qt}1{Qt}</t>
  </si>
  <si>
    <t>ディシジョン(BL)
ディシジョンID=D-2.ディシジョンNO=98.ディシジョン名=BL実行(店別セール発注製品マスタ登録).ディシジョン概要=【結合条件不一致】店舗マスタ.レジデータ店舗IDと不一致</t>
  </si>
  <si>
    <t>ディシジョン(BL)
ディシジョンID=D-2.ディシジョンNO=99.ディシジョン名=BL実行(店別セール発注製品マスタ登録).ディシジョン概要=登録条件全一致レジデータ店舗マスタ.適用開始日 = セール発注製品マスタ.廻送日付開始(境界値)レジデータ店舗マスタ.適用終了日 = セール発注製品マスタ.廻送日付開始+1(Not境界値)</t>
  </si>
  <si>
    <t>ディシジョン(BL)
ディシジョンID=D-2.ディシジョンNO=100.ディシジョン名=BL実行(店別セール発注製品マスタ登録).ディシジョン概要=登録条件全一致レジデータ店舗マスタ.適用開始日 = セール発注製品マスタ.廻送日付開始-1(Not境界値)レジデータ店舗マスタ.適用終了日 = セール発注製品マスタ.廻送日付開始(境界値)</t>
  </si>
  <si>
    <t>102</t>
  </si>
  <si>
    <t>ディシジョン(BL)
ディシジョンID=D-2.ディシジョンNO=101.ディシジョン名=BL実行(店別セール発注製品マスタ登録).ディシジョン概要=【結合条件不一致】レジデータ店舗マスタ.適用開始日 = セール発注製品マスタ.廻送日付開始+1レジデータ店舗マスタ.適用終了日 = セール発注製品マスタ.廻送日付開始+1</t>
  </si>
  <si>
    <t>103</t>
  </si>
  <si>
    <t>ディシジョン(BL)
ディシジョンID=D-2.ディシジョンNO=102.ディシジョン名=BL実行(店別セール発注製品マスタ登録).ディシジョン概要=【結合条件不一致】レジデータ店舗マスタ.適用開始日 = セール発注製品マスタ.廻送日付開始-1レジデータ店舗マスタ.適用終了日 = セール発注製品マスタ.廻送日付開始-1</t>
  </si>
  <si>
    <t>104</t>
  </si>
  <si>
    <t>ディシジョン(BL)
ディシジョンID=D-2.ディシジョンNO=103.ディシジョン名=BL実行(店別セール発注製品マスタ登録).ディシジョン概要=【結合条件不一致】店舗マスタ.計上先組織IDと不一致</t>
  </si>
  <si>
    <t>105</t>
  </si>
  <si>
    <t>ディシジョン(BL)
ディシジョンID=D-2.ディシジョンNO=104.ディシジョン名=BL実行(店別セール発注製品マスタ登録).ディシジョン概要=登録条件全一致組織マスタ.適用開始日 = セール発注製品マスタ.廻送日付開始(境界値)組織マスタ.適用終了日 = セール発注製品マスタ.廻送日付開始+1(Not境界値)</t>
  </si>
  <si>
    <t>106</t>
  </si>
  <si>
    <t>ディシジョン(BL)
ディシジョンID=D-2.ディシジョンNO=105.ディシジョン名=BL実行(店別セール発注製品マスタ登録).ディシジョン概要=登録条件全一致組織マスタ.適用開始日 = セール発注製品マスタ.廻送日付開始-1(Not境界値)組織マスタ.適用終了日 = セール発注製品マスタ.廻送日付開始(境界値)</t>
  </si>
  <si>
    <t>107</t>
  </si>
  <si>
    <t>ディシジョン(BL)
ディシジョンID=D-2.ディシジョンNO=106.ディシジョン名=BL実行(店別セール発注製品マスタ登録).ディシジョン概要=【結合条件不一致】組織マスタ.適用開始日 = セール発注製品マスタ.廻送日付開始+1組織マスタ.適用終了日 = セール発注製品マスタ.廻送日付開始+1</t>
  </si>
  <si>
    <t>108</t>
  </si>
  <si>
    <t>ディシジョン(BL)
ディシジョンID=D-2.ディシジョンNO=107.ディシジョン名=BL実行(店別セール発注製品マスタ登録).ディシジョン概要=【結合条件不一致】組織マスタ.適用開始日 = セール発注製品マスタ.廻送日付開始-1組織マスタ.適用終了日 = セール発注製品マスタ.廻送日付開始-1</t>
  </si>
  <si>
    <t>109</t>
  </si>
  <si>
    <t>ディシジョン(BL)
ディシジョンID=D-2.ディシジョンNO=108.ディシジョン名=BL実行(店別セール発注製品マスタ登録).ディシジョン概要=【結合条件不一致】店舗形態別商品販売条件マスタ.店舗形態コードと不一致</t>
  </si>
  <si>
    <t>110</t>
  </si>
  <si>
    <t>ディシジョン(BL)
ディシジョンID=D-2.ディシジョンNO=109.ディシジョン名=BL実行(店別セール発注製品マスタ登録).ディシジョン概要=【結合条件不一致】[区分値.組織廃止フラグ.活動中]と不一致</t>
  </si>
  <si>
    <t>111</t>
  </si>
  <si>
    <t>ディシジョン(BL)
ディシジョンID=D-2.ディシジョンNO=110.ディシジョン名=BL実行(店別セール発注製品マスタ登録).ディシジョン概要=【設定値条件】出荷先世代.納品単価区分 = [区分値.納品単価区分.直営]</t>
  </si>
  <si>
    <t>112</t>
  </si>
  <si>
    <t>ディシジョン(BL)
ディシジョンID=D-2.ディシジョンNO=111.ディシジョン名=BL実行(店別セール発注製品マスタ登録).ディシジョン概要=【設定値条件】出荷先世代.納品単価区分 = [区分値.納品単価区分.FC0]</t>
  </si>
  <si>
    <t>113</t>
  </si>
  <si>
    <t>ディシジョン(BL)
ディシジョンID=D-2.ディシジョンNO=112.ディシジョン名=BL実行(店別セール発注製品マスタ登録).ディシジョン概要=【設定値条件】出荷先世代.納品単価区分 = [区分値.納品単価区分.FC1]</t>
  </si>
  <si>
    <t>114</t>
  </si>
  <si>
    <t>ディシジョン(BL)
ディシジョンID=D-2.ディシジョンNO=113.ディシジョン名=BL実行(店別セール発注製品マスタ登録).ディシジョン概要=【設定値条件】出荷先世代.納品単価区分 = [区分値.納品単価区分.FC2]</t>
  </si>
  <si>
    <t>115</t>
  </si>
  <si>
    <t>ディシジョン(BL)
ディシジョンID=D-2.ディシジョンNO=114.ディシジョン名=BL実行(店別セール発注製品マスタ登録).ディシジョン概要=【設定値条件】出荷先世代.納品単価区分 = [区分値.納品単価区分.FFS]</t>
  </si>
  <si>
    <t>116</t>
  </si>
  <si>
    <t>ディシジョン(BL)
ディシジョンID=D-2.ディシジョンNO=115.ディシジョン名=BL実行(店別セール発注製品マスタ登録).ディシジョン概要=【設定値条件】セールマスタ.セール区分 = [区分値.セール区分.長期LT通常発注]</t>
  </si>
  <si>
    <t>117</t>
  </si>
  <si>
    <t>ディシジョン(BL)
ディシジョンID=D-2.ディシジョンNO=116.ディシジョン名=BL実行(店別セール発注製品マスタ登録).ディシジョン概要=【設定値条件】セールマスタ.セール区分が[区分値.セール区分.長期LT通常発注]以外</t>
  </si>
  <si>
    <t>集約キーチェック
集約キー=店舗IDセールID製品ID廻送日付開始</t>
    <phoneticPr fontId="29"/>
  </si>
  <si>
    <t>D-2-98
ディシジョン(BL)
ディシジョンID=D-2.ディシジョンNO=98.ディシジョン名=BL実行(店別セール発注製品マスタ登録).ディシジョン概要=【結合条件不一致】店舗マスタ.レジデータ店舗IDと不一致</t>
    <phoneticPr fontId="27"/>
  </si>
  <si>
    <t>D-2-99
ディシジョン(BL)
ディシジョンID=D-2.ディシジョンNO=99.ディシジョン名=BL実行(店別セール発注製品マスタ登録).ディシジョン概要=登録条件全一致レジデータ店舗マスタ.適用開始日 = セール発注製品マスタ.廻送日付開始(境界値)レジデータ店舗マスタ.適用終了日 = セール発注製品マスタ.廻送日付開始+1(Not境界値)
削除フラグチェック
CRUDNo=1-2,対象テーブル=レジデータ店舗マスタ
削除フラグ=未削除</t>
    <phoneticPr fontId="27"/>
  </si>
  <si>
    <t>D-2-100
ディシジョン(BL)
ディシジョンID=D-2.ディシジョンNO=100.ディシジョン名=BL実行(店別セール発注製品マスタ登録).ディシジョン概要=登録条件全一致レジデータ店舗マスタ.適用開始日 = セール発注製品マスタ.廻送日付開始-1(Not境界値)レジデータ店舗マスタ.適用終了日 = セール発注製品マスタ.廻送日付開始(境界値)</t>
    <phoneticPr fontId="27"/>
  </si>
  <si>
    <t>D-2-101
ディシジョン(BL)
ディシジョンID=D-2.ディシジョンNO=101.ディシジョン名=BL実行(店別セール発注製品マスタ登録).ディシジョン概要=【結合条件不一致】レジデータ店舗マスタ.適用開始日 = セール発注製品マスタ.廻送日付開始+1レジデータ店舗マスタ.適用終了日 = セール発注製品マスタ.廻送日付開始+1</t>
    <phoneticPr fontId="27"/>
  </si>
  <si>
    <t>D-2-102
ディシジョン(BL)
ディシジョンID=D-2.ディシジョンNO=102.ディシジョン名=BL実行(店別セール発注製品マスタ登録).ディシジョン概要=【結合条件不一致】レジデータ店舗マスタ.適用開始日 = セール発注製品マスタ.廻送日付開始-1レジデータ店舗マスタ.適用終了日 = セール発注製品マスタ.廻送日付開始-1</t>
    <phoneticPr fontId="27"/>
  </si>
  <si>
    <t>D-2-102
後続世代</t>
    <phoneticPr fontId="27"/>
  </si>
  <si>
    <t>D-2-103
ディシジョン(BL)
ディシジョンID=D-2.ディシジョンNO=103.ディシジョン名=BL実行(店別セール発注製品マスタ登録).ディシジョン概要=【結合条件不一致】店舗マスタ.計上先組織IDと不一致</t>
    <phoneticPr fontId="27"/>
  </si>
  <si>
    <t>D-2-104
ディシジョン(BL)
ディシジョンID=D-2.ディシジョンNO=104.ディシジョン名=BL実行(店別セール発注製品マスタ登録).ディシジョン概要=登録条件全一致組織マスタ.適用開始日 = セール発注製品マスタ.廻送日付開始(境界値)組織マスタ.適用終了日 = セール発注製品マスタ.廻送日付開始+1(Not境界値)
削除フラグチェック
CRUDNo=1-2,対象テーブル=組織マスタ
削除フラグ=未削除</t>
    <phoneticPr fontId="27"/>
  </si>
  <si>
    <t>D-2-105
ディシジョン(BL)
ディシジョンID=D-2.ディシジョンNO=105.ディシジョン名=BL実行(店別セール発注製品マスタ登録).ディシジョン概要=登録条件全一致組織マスタ.適用開始日 = セール発注製品マスタ.廻送日付開始-1(Not境界値)組織マスタ.適用終了日 = セール発注製品マスタ.廻送日付開始(境界値)</t>
    <phoneticPr fontId="27"/>
  </si>
  <si>
    <t>D-2-106
ディシジョン(BL)
ディシジョンID=D-2.ディシジョンNO=106.ディシジョン名=BL実行(店別セール発注製品マスタ登録).ディシジョン概要=【結合条件不一致】組織マスタ.適用開始日 = セール発注製品マスタ.廻送日付開始+1組織マスタ.適用終了日 = セール発注製品マスタ.廻送日付開始+1</t>
    <phoneticPr fontId="27"/>
  </si>
  <si>
    <t>D-2-107
ディシジョン(BL)
ディシジョンID=D-2.ディシジョンNO=107.ディシジョン名=BL実行(店別セール発注製品マスタ登録).ディシジョン概要=【結合条件不一致】組織マスタ.適用開始日 = セール発注製品マスタ.廻送日付開始-1組織マスタ.適用終了日 = セール発注製品マスタ.廻送日付開始-1</t>
    <phoneticPr fontId="27"/>
  </si>
  <si>
    <t>D-2-107
後続世代</t>
    <phoneticPr fontId="27"/>
  </si>
  <si>
    <t>D-2-108
ディシジョン(BL)
ディシジョンID=D-2.ディシジョンNO=108.ディシジョン名=BL実行(店別セール発注製品マスタ登録).ディシジョン概要=【結合条件不一致】店舗形態別商品販売条件マスタ.店舗形態コードと不一致</t>
    <phoneticPr fontId="27"/>
  </si>
  <si>
    <t>D-2-109
ディシジョン(BL)
ディシジョンID=D-2.ディシジョンNO=109.ディシジョン名=BL実行(店別セール発注製品マスタ登録).ディシジョン概要=【結合条件不一致】[区分値.組織廃止フラグ.活動中]と不一致</t>
    <phoneticPr fontId="27"/>
  </si>
  <si>
    <t>D-2-110
ディシジョン(BL)
ディシジョンID=D-2.ディシジョンNO=110.ディシジョン名=BL実行(店別セール発注製品マスタ登録).ディシジョン概要=【設定値条件】出荷先世代.納品単価区分 = [区分値.納品単価区分.直営]</t>
    <phoneticPr fontId="27"/>
  </si>
  <si>
    <t>D-2-111
ディシジョン(BL)
ディシジョンID=D-2.ディシジョンNO=111.ディシジョン名=BL実行(店別セール発注製品マスタ登録).ディシジョン概要=【設定値条件】出荷先世代.納品単価区分 = [区分値.納品単価区分.FC0]</t>
    <phoneticPr fontId="27"/>
  </si>
  <si>
    <t>D-2-112
ディシジョン(BL)
ディシジョンID=D-2.ディシジョンNO=112.ディシジョン名=BL実行(店別セール発注製品マスタ登録).ディシジョン概要=【設定値条件】出荷先世代.納品単価区分 = [区分値.納品単価区分.FC1]</t>
    <phoneticPr fontId="27"/>
  </si>
  <si>
    <t>D-2-113
ディシジョン(BL)
ディシジョンID=D-2.ディシジョンNO=113.ディシジョン名=BL実行(店別セール発注製品マスタ登録).ディシジョン概要=【設定値条件】出荷先世代.納品単価区分 = [区分値.納品単価区分.FC2]</t>
    <phoneticPr fontId="27"/>
  </si>
  <si>
    <t>D-2-114
ディシジョン(BL)
ディシジョンID=D-2.ディシジョンNO=114.ディシジョン名=BL実行(店別セール発注製品マスタ登録).ディシジョン概要=【設定値条件】出荷先世代.納品単価区分 = [区分値.納品単価区分.FFS]</t>
    <phoneticPr fontId="27"/>
  </si>
  <si>
    <t>D-2-115
ディシジョン(BL)
ディシジョンID=D-2.ディシジョンNO=115.ディシジョン名=BL実行(店別セール発注製品マスタ登録).ディシジョン概要=【設定値条件】セールマスタ.セール区分 = [区分値.セール区分.長期LT通常発注]
D-2-28
ディシジョン(BL)
ディシジョンID=D-2.ディシジョンNO=28.ディシジョン名=BL実行(店別セール発注製品マスタ登録).ディシジョン概要=【結合条件不一致】製品世代マスタ.適用開始日 = セール発注製品マスタ.廻送日付開始-1製品世代マスタ.適用終了日 = セール発注製品マスタ.廻送日付開始-1</t>
    <phoneticPr fontId="27"/>
  </si>
  <si>
    <t>D-2-116
ディシジョン(BL)
ディシジョンID=D-2.ディシジョンNO=116.ディシジョン名=BL実行(店別セール発注製品マスタ登録).ディシジョン概要=【設定値条件】セールマスタ.セール区分が[区分値.セール区分.長期LT通常発注]以外
D-2-28
後続世代</t>
    <phoneticPr fontId="27"/>
  </si>
  <si>
    <t>ディシジョン(BL)
ディシジョンID=D-2.ディシジョンNO=50.ディシジョン名=BL実行(店別セール発注製品マスタ登録).ディシジョン概要=【設定値条件】製品世代マスタ.取扱フラグ(1桁目)が1以外</t>
    <phoneticPr fontId="29"/>
  </si>
  <si>
    <t>操作コマンド</t>
    <phoneticPr fontId="1"/>
  </si>
  <si>
    <t>要求コマンド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</si>
</sst>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;@"/>
    <numFmt numFmtId="177" formatCode="0000\-00"/>
    <numFmt numFmtId="178" formatCode="yyyy/mm/dd"/>
  </numFmts>
  <fonts count="3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8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8"/>
      <color indexed="10"/>
      <name val="ＭＳ Ｐゴシック"/>
      <family val="3"/>
      <charset val="128"/>
    </font>
    <font>
      <b/>
      <sz val="36"/>
      <name val="ＭＳ Ｐゴシック"/>
      <family val="3"/>
      <charset val="128"/>
    </font>
    <font>
      <b/>
      <sz val="28"/>
      <name val="ＭＳ Ｐゴシック"/>
      <family val="3"/>
      <charset val="128"/>
    </font>
    <font>
      <sz val="28"/>
      <name val="ＭＳ Ｐゴシック"/>
      <family val="3"/>
      <charset val="128"/>
    </font>
    <font>
      <sz val="16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24"/>
      <name val="ＭＳ Ｐゴシック"/>
      <family val="3"/>
      <charset val="128"/>
    </font>
    <font>
      <b/>
      <sz val="2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u/>
      <sz val="10"/>
      <color indexed="14"/>
      <name val="MS Sans Serif"/>
      <family val="2"/>
    </font>
    <font>
      <u/>
      <sz val="8"/>
      <color indexed="12"/>
      <name val="Times New Roman"/>
      <family val="1"/>
    </font>
    <font>
      <u/>
      <sz val="11"/>
      <color theme="10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  <font>
      <u/>
      <sz val="11"/>
      <color theme="1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b/>
      <sz val="10"/>
      <color theme="0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b/>
      <sz val="11"/>
      <color indexed="8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10">
    <xf numFmtId="0" fontId="0" fillId="0" borderId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240">
    <xf numFmtId="0" fontId="0" fillId="0" borderId="0" xfId="0">
      <alignment vertical="center"/>
    </xf>
    <xf numFmtId="0" fontId="4" fillId="2" borderId="4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0" borderId="0" xfId="0" applyFont="1">
      <alignment vertical="center"/>
    </xf>
    <xf numFmtId="0" fontId="4" fillId="3" borderId="6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7" xfId="0" applyFont="1" applyFill="1" applyBorder="1">
      <alignment vertical="center"/>
    </xf>
    <xf numFmtId="0" fontId="4" fillId="0" borderId="6" xfId="0" applyFont="1" applyFill="1" applyBorder="1">
      <alignment vertical="center"/>
    </xf>
    <xf numFmtId="0" fontId="4" fillId="0" borderId="0" xfId="0" applyFont="1" applyFill="1" applyBorder="1">
      <alignment vertical="center"/>
    </xf>
    <xf numFmtId="49" fontId="4" fillId="0" borderId="0" xfId="0" applyNumberFormat="1" applyFont="1" applyFill="1" applyBorder="1">
      <alignment vertical="center"/>
    </xf>
    <xf numFmtId="49" fontId="4" fillId="0" borderId="7" xfId="0" applyNumberFormat="1" applyFont="1" applyFill="1" applyBorder="1">
      <alignment vertical="center"/>
    </xf>
    <xf numFmtId="0" fontId="5" fillId="0" borderId="6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49" fontId="5" fillId="0" borderId="0" xfId="0" applyNumberFormat="1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vertical="center"/>
    </xf>
    <xf numFmtId="49" fontId="5" fillId="0" borderId="7" xfId="0" applyNumberFormat="1" applyFont="1" applyFill="1" applyBorder="1" applyAlignment="1">
      <alignment vertical="center"/>
    </xf>
    <xf numFmtId="0" fontId="4" fillId="0" borderId="0" xfId="0" applyFont="1" applyBorder="1">
      <alignment vertical="center"/>
    </xf>
    <xf numFmtId="0" fontId="4" fillId="0" borderId="7" xfId="0" applyFont="1" applyFill="1" applyBorder="1">
      <alignment vertical="center"/>
    </xf>
    <xf numFmtId="0" fontId="10" fillId="0" borderId="0" xfId="0" applyFont="1" applyBorder="1" applyAlignment="1">
      <alignment horizontal="center" vertical="center"/>
    </xf>
    <xf numFmtId="49" fontId="4" fillId="0" borderId="6" xfId="0" applyNumberFormat="1" applyFont="1" applyFill="1" applyBorder="1" applyAlignment="1">
      <alignment vertical="center" wrapText="1"/>
    </xf>
    <xf numFmtId="49" fontId="13" fillId="0" borderId="6" xfId="0" applyNumberFormat="1" applyFont="1" applyFill="1" applyBorder="1" applyAlignment="1">
      <alignment vertical="center"/>
    </xf>
    <xf numFmtId="49" fontId="13" fillId="0" borderId="0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49" fontId="4" fillId="0" borderId="6" xfId="0" applyNumberFormat="1" applyFont="1" applyFill="1" applyBorder="1">
      <alignment vertical="center"/>
    </xf>
    <xf numFmtId="49" fontId="4" fillId="0" borderId="5" xfId="0" applyNumberFormat="1" applyFont="1" applyFill="1" applyBorder="1">
      <alignment vertical="center"/>
    </xf>
    <xf numFmtId="49" fontId="14" fillId="0" borderId="0" xfId="0" applyNumberFormat="1" applyFont="1" applyAlignment="1">
      <alignment vertical="center"/>
    </xf>
    <xf numFmtId="49" fontId="15" fillId="0" borderId="0" xfId="0" applyNumberFormat="1" applyFont="1" applyFill="1" applyBorder="1" applyAlignment="1"/>
    <xf numFmtId="49" fontId="15" fillId="0" borderId="0" xfId="0" applyNumberFormat="1" applyFont="1" applyFill="1" applyBorder="1" applyAlignment="1">
      <alignment horizontal="center" vertical="center"/>
    </xf>
    <xf numFmtId="49" fontId="16" fillId="0" borderId="0" xfId="0" applyNumberFormat="1" applyFont="1" applyFill="1" applyBorder="1" applyAlignment="1">
      <alignment vertical="center"/>
    </xf>
    <xf numFmtId="49" fontId="6" fillId="0" borderId="6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6" fillId="0" borderId="7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Alignment="1">
      <alignment vertical="center"/>
    </xf>
    <xf numFmtId="49" fontId="6" fillId="0" borderId="8" xfId="0" applyNumberFormat="1" applyFont="1" applyFill="1" applyBorder="1" applyAlignment="1">
      <alignment horizontal="center" vertical="center"/>
    </xf>
    <xf numFmtId="49" fontId="4" fillId="0" borderId="0" xfId="0" applyNumberFormat="1" applyFont="1" applyFill="1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Alignment="1">
      <alignment vertical="center"/>
    </xf>
    <xf numFmtId="49" fontId="4" fillId="0" borderId="9" xfId="0" applyNumberFormat="1" applyFont="1" applyFill="1" applyBorder="1">
      <alignment vertical="center"/>
    </xf>
    <xf numFmtId="49" fontId="4" fillId="0" borderId="8" xfId="0" applyNumberFormat="1" applyFont="1" applyFill="1" applyBorder="1">
      <alignment vertical="center"/>
    </xf>
    <xf numFmtId="49" fontId="4" fillId="0" borderId="10" xfId="0" applyNumberFormat="1" applyFont="1" applyFill="1" applyBorder="1">
      <alignment vertical="center"/>
    </xf>
    <xf numFmtId="176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49" fontId="4" fillId="3" borderId="11" xfId="0" applyNumberFormat="1" applyFont="1" applyFill="1" applyBorder="1">
      <alignment vertical="center"/>
    </xf>
    <xf numFmtId="49" fontId="4" fillId="3" borderId="12" xfId="0" applyNumberFormat="1" applyFont="1" applyFill="1" applyBorder="1">
      <alignment vertical="center"/>
    </xf>
    <xf numFmtId="49" fontId="4" fillId="3" borderId="2" xfId="0" applyNumberFormat="1" applyFont="1" applyFill="1" applyBorder="1">
      <alignment vertical="center"/>
    </xf>
    <xf numFmtId="49" fontId="4" fillId="0" borderId="11" xfId="0" applyNumberFormat="1" applyFont="1" applyFill="1" applyBorder="1" applyAlignment="1">
      <alignment vertical="center"/>
    </xf>
    <xf numFmtId="0" fontId="4" fillId="0" borderId="12" xfId="0" applyNumberFormat="1" applyFont="1" applyFill="1" applyBorder="1" applyAlignment="1">
      <alignment vertical="center"/>
    </xf>
    <xf numFmtId="0" fontId="4" fillId="0" borderId="11" xfId="0" applyNumberFormat="1" applyFont="1" applyFill="1" applyBorder="1" applyAlignment="1">
      <alignment vertical="center"/>
    </xf>
    <xf numFmtId="0" fontId="4" fillId="0" borderId="12" xfId="0" applyNumberFormat="1" applyFont="1" applyFill="1" applyBorder="1" applyAlignment="1">
      <alignment horizontal="left" vertical="center"/>
    </xf>
    <xf numFmtId="0" fontId="4" fillId="0" borderId="11" xfId="0" applyNumberFormat="1" applyFont="1" applyFill="1" applyBorder="1" applyAlignment="1">
      <alignment horizontal="left" vertical="center"/>
    </xf>
    <xf numFmtId="0" fontId="4" fillId="0" borderId="2" xfId="0" applyNumberFormat="1" applyFont="1" applyFill="1" applyBorder="1">
      <alignment vertical="center"/>
    </xf>
    <xf numFmtId="0" fontId="4" fillId="0" borderId="12" xfId="0" applyNumberFormat="1" applyFont="1" applyFill="1" applyBorder="1">
      <alignment vertical="center"/>
    </xf>
    <xf numFmtId="49" fontId="4" fillId="0" borderId="0" xfId="0" applyNumberFormat="1" applyFont="1">
      <alignment vertical="center"/>
    </xf>
    <xf numFmtId="49" fontId="18" fillId="3" borderId="11" xfId="0" applyNumberFormat="1" applyFont="1" applyFill="1" applyBorder="1" applyAlignment="1" applyProtection="1">
      <alignment horizontal="left" vertical="center"/>
    </xf>
    <xf numFmtId="0" fontId="4" fillId="3" borderId="2" xfId="0" applyFont="1" applyFill="1" applyBorder="1" applyAlignment="1" applyProtection="1">
      <alignment vertical="center"/>
    </xf>
    <xf numFmtId="0" fontId="4" fillId="3" borderId="11" xfId="0" applyFont="1" applyFill="1" applyBorder="1" applyAlignment="1" applyProtection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21" fillId="0" borderId="0" xfId="0" applyNumberFormat="1" applyFont="1" applyAlignment="1" applyProtection="1">
      <alignment horizontal="left" vertical="center" wrapText="1"/>
    </xf>
    <xf numFmtId="49" fontId="19" fillId="0" borderId="0" xfId="0" applyNumberFormat="1" applyFont="1" applyAlignment="1">
      <alignment horizontal="left" vertical="center" wrapText="1"/>
    </xf>
    <xf numFmtId="49" fontId="19" fillId="0" borderId="0" xfId="0" applyNumberFormat="1" applyFont="1" applyAlignment="1">
      <alignment horizontal="center" vertical="center" wrapText="1"/>
    </xf>
    <xf numFmtId="49" fontId="19" fillId="0" borderId="0" xfId="0" applyNumberFormat="1" applyFont="1" applyAlignment="1">
      <alignment vertical="center" wrapText="1"/>
    </xf>
    <xf numFmtId="0" fontId="19" fillId="0" borderId="0" xfId="0" applyNumberFormat="1" applyFont="1" applyAlignment="1">
      <alignment vertical="center" wrapText="1"/>
    </xf>
    <xf numFmtId="0" fontId="4" fillId="3" borderId="2" xfId="0" applyNumberFormat="1" applyFont="1" applyFill="1" applyBorder="1" applyAlignment="1" applyProtection="1">
      <alignment vertical="center" wrapText="1"/>
    </xf>
    <xf numFmtId="0" fontId="4" fillId="0" borderId="0" xfId="0" applyFont="1" applyAlignment="1" applyProtection="1">
      <alignment vertical="center" wrapText="1"/>
    </xf>
    <xf numFmtId="0" fontId="20" fillId="3" borderId="13" xfId="0" applyFont="1" applyFill="1" applyBorder="1" applyAlignment="1">
      <alignment horizontal="center" vertical="center" wrapText="1"/>
    </xf>
    <xf numFmtId="0" fontId="20" fillId="4" borderId="13" xfId="0" applyNumberFormat="1" applyFont="1" applyFill="1" applyBorder="1" applyAlignment="1">
      <alignment horizontal="center" vertical="center" wrapText="1"/>
    </xf>
    <xf numFmtId="0" fontId="4" fillId="0" borderId="2" xfId="0" applyFont="1" applyFill="1" applyBorder="1" applyAlignment="1" applyProtection="1">
      <alignment vertical="center"/>
    </xf>
    <xf numFmtId="0" fontId="4" fillId="3" borderId="12" xfId="0" applyFont="1" applyFill="1" applyBorder="1" applyAlignment="1" applyProtection="1">
      <alignment vertical="center"/>
    </xf>
    <xf numFmtId="0" fontId="4" fillId="3" borderId="1" xfId="0" applyFont="1" applyFill="1" applyBorder="1" applyAlignment="1" applyProtection="1">
      <alignment vertical="center"/>
    </xf>
    <xf numFmtId="0" fontId="4" fillId="3" borderId="5" xfId="0" applyNumberFormat="1" applyFont="1" applyFill="1" applyBorder="1" applyAlignment="1" applyProtection="1">
      <alignment vertical="center" wrapText="1"/>
    </xf>
    <xf numFmtId="0" fontId="4" fillId="3" borderId="9" xfId="0" applyNumberFormat="1" applyFont="1" applyFill="1" applyBorder="1" applyAlignment="1" applyProtection="1">
      <alignment vertical="center" wrapText="1"/>
    </xf>
    <xf numFmtId="0" fontId="4" fillId="3" borderId="8" xfId="0" applyNumberFormat="1" applyFont="1" applyFill="1" applyBorder="1" applyAlignment="1" applyProtection="1">
      <alignment vertical="center" wrapText="1"/>
    </xf>
    <xf numFmtId="0" fontId="4" fillId="3" borderId="6" xfId="0" applyNumberFormat="1" applyFont="1" applyFill="1" applyBorder="1" applyAlignment="1" applyProtection="1">
      <alignment vertical="center" wrapText="1"/>
    </xf>
    <xf numFmtId="0" fontId="4" fillId="3" borderId="0" xfId="0" applyNumberFormat="1" applyFont="1" applyFill="1" applyBorder="1" applyAlignment="1" applyProtection="1">
      <alignment vertical="center" wrapText="1"/>
    </xf>
    <xf numFmtId="0" fontId="20" fillId="4" borderId="14" xfId="0" applyNumberFormat="1" applyFont="1" applyFill="1" applyBorder="1" applyAlignment="1">
      <alignment horizontal="center" vertical="center" wrapText="1"/>
    </xf>
    <xf numFmtId="0" fontId="4" fillId="3" borderId="5" xfId="0" applyNumberFormat="1" applyFont="1" applyFill="1" applyBorder="1" applyAlignment="1" applyProtection="1">
      <alignment horizontal="center" vertical="center" wrapText="1"/>
    </xf>
    <xf numFmtId="0" fontId="4" fillId="3" borderId="0" xfId="0" applyNumberFormat="1" applyFont="1" applyFill="1" applyBorder="1" applyAlignment="1" applyProtection="1">
      <alignment horizontal="center" vertical="center" wrapText="1"/>
    </xf>
    <xf numFmtId="0" fontId="4" fillId="3" borderId="8" xfId="0" applyNumberFormat="1" applyFont="1" applyFill="1" applyBorder="1" applyAlignment="1" applyProtection="1">
      <alignment horizontal="center" vertical="center" wrapText="1"/>
    </xf>
    <xf numFmtId="0" fontId="19" fillId="0" borderId="0" xfId="0" applyNumberFormat="1" applyFont="1" applyAlignment="1">
      <alignment horizontal="center" vertical="center" wrapText="1"/>
    </xf>
    <xf numFmtId="0" fontId="20" fillId="3" borderId="5" xfId="0" applyNumberFormat="1" applyFont="1" applyFill="1" applyBorder="1" applyAlignment="1">
      <alignment horizontal="center" vertical="center" wrapText="1"/>
    </xf>
    <xf numFmtId="0" fontId="4" fillId="3" borderId="5" xfId="0" applyNumberFormat="1" applyFont="1" applyFill="1" applyBorder="1" applyAlignment="1" applyProtection="1">
      <alignment vertical="center" shrinkToFit="1"/>
    </xf>
    <xf numFmtId="0" fontId="4" fillId="3" borderId="0" xfId="0" applyNumberFormat="1" applyFont="1" applyFill="1" applyBorder="1" applyAlignment="1" applyProtection="1">
      <alignment vertical="center" shrinkToFit="1"/>
    </xf>
    <xf numFmtId="0" fontId="4" fillId="3" borderId="8" xfId="0" applyNumberFormat="1" applyFont="1" applyFill="1" applyBorder="1" applyAlignment="1" applyProtection="1">
      <alignment vertical="center" shrinkToFit="1"/>
    </xf>
    <xf numFmtId="0" fontId="19" fillId="0" borderId="0" xfId="0" applyNumberFormat="1" applyFont="1" applyAlignment="1">
      <alignment vertical="center" shrinkToFit="1"/>
    </xf>
    <xf numFmtId="0" fontId="20" fillId="4" borderId="7" xfId="0" applyNumberFormat="1" applyFont="1" applyFill="1" applyBorder="1" applyAlignment="1">
      <alignment horizontal="center" vertical="center" shrinkToFit="1"/>
    </xf>
    <xf numFmtId="0" fontId="19" fillId="0" borderId="0" xfId="0" applyFont="1" applyAlignment="1">
      <alignment vertical="center" shrinkToFit="1"/>
    </xf>
    <xf numFmtId="0" fontId="21" fillId="0" borderId="0" xfId="0" applyNumberFormat="1" applyFont="1" applyAlignment="1" applyProtection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49" fontId="4" fillId="3" borderId="5" xfId="0" applyNumberFormat="1" applyFont="1" applyFill="1" applyBorder="1" applyAlignment="1" applyProtection="1">
      <alignment vertical="center" wrapText="1"/>
    </xf>
    <xf numFmtId="49" fontId="21" fillId="0" borderId="0" xfId="0" applyNumberFormat="1" applyFont="1" applyAlignment="1" applyProtection="1">
      <alignment horizontal="left" vertical="center" wrapText="1"/>
    </xf>
    <xf numFmtId="0" fontId="20" fillId="3" borderId="14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vertical="center" wrapText="1"/>
    </xf>
    <xf numFmtId="49" fontId="20" fillId="4" borderId="13" xfId="0" applyNumberFormat="1" applyFont="1" applyFill="1" applyBorder="1" applyAlignment="1">
      <alignment horizontal="center" vertical="center" wrapText="1"/>
    </xf>
    <xf numFmtId="0" fontId="19" fillId="3" borderId="13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20" fillId="4" borderId="6" xfId="0" applyNumberFormat="1" applyFont="1" applyFill="1" applyBorder="1" applyAlignment="1">
      <alignment horizontal="center" vertical="center" wrapText="1"/>
    </xf>
    <xf numFmtId="0" fontId="20" fillId="4" borderId="7" xfId="0" applyNumberFormat="1" applyFont="1" applyFill="1" applyBorder="1" applyAlignment="1">
      <alignment horizontal="center" vertical="center" wrapText="1"/>
    </xf>
    <xf numFmtId="0" fontId="4" fillId="0" borderId="11" xfId="0" applyNumberFormat="1" applyFont="1" applyBorder="1" applyAlignment="1" applyProtection="1">
      <alignment vertical="center" wrapText="1"/>
    </xf>
    <xf numFmtId="49" fontId="4" fillId="3" borderId="2" xfId="0" applyNumberFormat="1" applyFont="1" applyFill="1" applyBorder="1" applyAlignment="1" applyProtection="1">
      <alignment vertical="center" wrapText="1"/>
    </xf>
    <xf numFmtId="49" fontId="4" fillId="3" borderId="1" xfId="0" applyNumberFormat="1" applyFont="1" applyFill="1" applyBorder="1" applyAlignment="1" applyProtection="1">
      <alignment vertical="center" wrapText="1"/>
    </xf>
    <xf numFmtId="49" fontId="4" fillId="3" borderId="11" xfId="0" applyNumberFormat="1" applyFont="1" applyFill="1" applyBorder="1" applyAlignment="1" applyProtection="1">
      <alignment vertical="center" wrapText="1"/>
    </xf>
    <xf numFmtId="178" fontId="4" fillId="3" borderId="2" xfId="0" applyNumberFormat="1" applyFont="1" applyFill="1" applyBorder="1" applyAlignment="1" applyProtection="1">
      <alignment vertical="center" wrapText="1"/>
    </xf>
    <xf numFmtId="178" fontId="4" fillId="0" borderId="11" xfId="0" applyNumberFormat="1" applyFont="1" applyBorder="1" applyAlignment="1" applyProtection="1">
      <alignment horizontal="left" vertical="center" wrapText="1"/>
    </xf>
    <xf numFmtId="178" fontId="4" fillId="0" borderId="1" xfId="0" applyNumberFormat="1" applyFont="1" applyBorder="1" applyAlignment="1" applyProtection="1">
      <alignment horizontal="left" vertical="center" wrapText="1"/>
    </xf>
    <xf numFmtId="0" fontId="4" fillId="0" borderId="2" xfId="0" applyNumberFormat="1" applyFont="1" applyBorder="1" applyAlignment="1" applyProtection="1">
      <alignment vertical="center" wrapText="1"/>
    </xf>
    <xf numFmtId="0" fontId="4" fillId="0" borderId="0" xfId="0" applyNumberFormat="1" applyFont="1" applyAlignment="1">
      <alignment horizontal="left" vertical="center"/>
    </xf>
    <xf numFmtId="0" fontId="4" fillId="0" borderId="11" xfId="0" applyNumberFormat="1" applyFont="1" applyBorder="1" applyAlignment="1" applyProtection="1">
      <alignment horizontal="left" vertical="center" wrapText="1"/>
    </xf>
    <xf numFmtId="0" fontId="4" fillId="0" borderId="1" xfId="0" applyNumberFormat="1" applyFont="1" applyBorder="1" applyAlignment="1" applyProtection="1">
      <alignment horizontal="left" vertical="center" wrapText="1"/>
    </xf>
    <xf numFmtId="0" fontId="0" fillId="0" borderId="1" xfId="0" applyBorder="1">
      <alignment vertical="center"/>
    </xf>
    <xf numFmtId="0" fontId="0" fillId="0" borderId="0" xfId="0">
      <alignment vertical="center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vertical="center" wrapText="1"/>
    </xf>
    <xf numFmtId="0" fontId="19" fillId="0" borderId="15" xfId="0" applyNumberFormat="1" applyFont="1" applyBorder="1" applyAlignment="1">
      <alignment horizontal="center" vertical="top" wrapText="1"/>
    </xf>
    <xf numFmtId="0" fontId="19" fillId="0" borderId="15" xfId="0" applyFont="1" applyFill="1" applyBorder="1" applyAlignment="1">
      <alignment vertical="center" shrinkToFit="1"/>
    </xf>
    <xf numFmtId="49" fontId="19" fillId="0" borderId="15" xfId="0" applyNumberFormat="1" applyFont="1" applyBorder="1" applyAlignment="1">
      <alignment horizontal="left" vertical="center" wrapText="1"/>
    </xf>
    <xf numFmtId="49" fontId="19" fillId="0" borderId="15" xfId="0" applyNumberFormat="1" applyFont="1" applyBorder="1" applyAlignment="1">
      <alignment horizontal="center" vertical="center" wrapText="1"/>
    </xf>
    <xf numFmtId="0" fontId="19" fillId="4" borderId="15" xfId="0" applyFont="1" applyFill="1" applyBorder="1" applyAlignment="1">
      <alignment horizontal="center" vertical="center" wrapText="1"/>
    </xf>
    <xf numFmtId="0" fontId="28" fillId="5" borderId="1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 wrapText="1"/>
    </xf>
    <xf numFmtId="0" fontId="28" fillId="6" borderId="1" xfId="0" applyFont="1" applyFill="1" applyBorder="1" applyAlignment="1">
      <alignment horizontal="center" vertical="center"/>
    </xf>
    <xf numFmtId="0" fontId="30" fillId="7" borderId="1" xfId="0" applyFont="1" applyFill="1" applyBorder="1" applyAlignment="1">
      <alignment horizontal="center" vertical="center"/>
    </xf>
    <xf numFmtId="0" fontId="30" fillId="0" borderId="0" xfId="0" applyFont="1">
      <alignment vertical="center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left" vertical="center"/>
    </xf>
    <xf numFmtId="0" fontId="30" fillId="0" borderId="1" xfId="0" applyFont="1" applyBorder="1" applyAlignment="1">
      <alignment vertical="center" wrapText="1"/>
    </xf>
    <xf numFmtId="0" fontId="30" fillId="0" borderId="1" xfId="0" applyFont="1" applyBorder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vertical="center" wrapText="1"/>
    </xf>
    <xf numFmtId="0" fontId="31" fillId="8" borderId="1" xfId="0" applyFont="1" applyFill="1" applyBorder="1">
      <alignment vertical="center"/>
    </xf>
    <xf numFmtId="49" fontId="0" fillId="0" borderId="0" xfId="0" applyNumberFormat="1">
      <alignment vertical="center"/>
    </xf>
    <xf numFmtId="49" fontId="0" fillId="3" borderId="1" xfId="0" applyNumberFormat="1" applyFill="1" applyBorder="1" applyAlignment="1">
      <alignment horizontal="center" vertical="center"/>
    </xf>
    <xf numFmtId="49" fontId="0" fillId="0" borderId="0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10" borderId="0" xfId="0" applyNumberFormat="1" applyFill="1">
      <alignment vertical="center"/>
    </xf>
    <xf numFmtId="0" fontId="0" fillId="10" borderId="0" xfId="0" applyFill="1">
      <alignment vertical="center"/>
    </xf>
    <xf numFmtId="0" fontId="32" fillId="11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3" borderId="0" xfId="0" applyNumberFormat="1" applyFont="1" applyFill="1" applyBorder="1" applyAlignment="1">
      <alignment horizontal="center" vertical="center" wrapText="1"/>
    </xf>
    <xf numFmtId="49" fontId="4" fillId="0" borderId="12" xfId="0" applyNumberFormat="1" applyFont="1" applyFill="1" applyBorder="1" applyAlignment="1">
      <alignment vertical="center"/>
    </xf>
    <xf numFmtId="49" fontId="4" fillId="0" borderId="11" xfId="0" applyNumberFormat="1" applyFont="1" applyFill="1" applyBorder="1" applyAlignment="1">
      <alignment vertical="center"/>
    </xf>
    <xf numFmtId="0" fontId="19" fillId="9" borderId="15" xfId="0" applyFont="1" applyFill="1" applyBorder="1" applyAlignment="1">
      <alignment horizontal="center" vertical="center" wrapText="1"/>
    </xf>
    <xf numFmtId="0" fontId="30" fillId="0" borderId="0" xfId="0" applyFont="1" applyBorder="1">
      <alignment vertical="center"/>
    </xf>
    <xf numFmtId="49" fontId="0" fillId="13" borderId="1" xfId="0" applyNumberFormat="1" applyFill="1" applyBorder="1">
      <alignment vertical="center"/>
    </xf>
    <xf numFmtId="49" fontId="0" fillId="9" borderId="1" xfId="0" applyNumberFormat="1" applyFill="1" applyBorder="1">
      <alignment vertical="center"/>
    </xf>
    <xf numFmtId="49" fontId="0" fillId="3" borderId="1" xfId="0" applyNumberFormat="1" applyFill="1" applyBorder="1" applyAlignment="1">
      <alignment horizontal="left" vertical="center"/>
    </xf>
    <xf numFmtId="0" fontId="30" fillId="0" borderId="1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horizontal="left" vertical="center"/>
    </xf>
    <xf numFmtId="0" fontId="30" fillId="0" borderId="1" xfId="0" applyFont="1" applyFill="1" applyBorder="1" applyAlignment="1">
      <alignment vertical="center" wrapText="1"/>
    </xf>
    <xf numFmtId="0" fontId="30" fillId="0" borderId="1" xfId="0" applyFont="1" applyFill="1" applyBorder="1">
      <alignment vertical="center"/>
    </xf>
    <xf numFmtId="0" fontId="30" fillId="0" borderId="0" xfId="0" applyFont="1" applyFill="1">
      <alignment vertical="center"/>
    </xf>
    <xf numFmtId="0" fontId="0" fillId="0" borderId="1" xfId="0" applyBorder="1" applyAlignment="1">
      <alignment vertical="center" wrapText="1"/>
    </xf>
    <xf numFmtId="49" fontId="0" fillId="14" borderId="1" xfId="0" applyNumberFormat="1" applyFill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14" borderId="1" xfId="0" applyNumberFormat="1" applyFill="1" applyBorder="1" applyAlignment="1">
      <alignment vertical="center" wrapText="1"/>
    </xf>
    <xf numFmtId="0" fontId="19" fillId="0" borderId="16" xfId="0" applyNumberFormat="1" applyFont="1" applyBorder="1" applyAlignment="1">
      <alignment horizontal="left" vertical="top" wrapText="1"/>
    </xf>
    <xf numFmtId="0" fontId="3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Alignment="1">
      <alignment horizontal="center" vertical="center" shrinkToFit="1"/>
    </xf>
    <xf numFmtId="0" fontId="9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49" fontId="8" fillId="0" borderId="0" xfId="0" applyNumberFormat="1" applyFont="1" applyFill="1" applyBorder="1" applyAlignment="1">
      <alignment horizontal="left" vertical="center"/>
    </xf>
    <xf numFmtId="49" fontId="11" fillId="0" borderId="6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/>
    </xf>
    <xf numFmtId="49" fontId="12" fillId="0" borderId="7" xfId="0" applyNumberFormat="1" applyFont="1" applyFill="1" applyBorder="1" applyAlignment="1">
      <alignment horizontal="center" vertical="center"/>
    </xf>
    <xf numFmtId="49" fontId="12" fillId="0" borderId="6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right" vertical="center"/>
    </xf>
    <xf numFmtId="49" fontId="6" fillId="0" borderId="0" xfId="0" applyNumberFormat="1" applyFont="1" applyFill="1" applyAlignment="1">
      <alignment horizontal="left" vertical="center"/>
    </xf>
    <xf numFmtId="177" fontId="4" fillId="0" borderId="0" xfId="0" applyNumberFormat="1" applyFont="1">
      <alignment vertical="center"/>
    </xf>
    <xf numFmtId="0" fontId="1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0" fontId="4" fillId="0" borderId="11" xfId="0" applyNumberFormat="1" applyFont="1" applyFill="1" applyBorder="1" applyAlignment="1">
      <alignment vertical="center"/>
    </xf>
    <xf numFmtId="0" fontId="4" fillId="0" borderId="2" xfId="0" applyNumberFormat="1" applyFont="1" applyFill="1" applyBorder="1" applyAlignment="1">
      <alignment vertical="center"/>
    </xf>
    <xf numFmtId="0" fontId="4" fillId="0" borderId="12" xfId="0" applyNumberFormat="1" applyFont="1" applyFill="1" applyBorder="1" applyAlignment="1">
      <alignment vertical="center"/>
    </xf>
    <xf numFmtId="14" fontId="4" fillId="0" borderId="11" xfId="0" applyNumberFormat="1" applyFont="1" applyFill="1" applyBorder="1" applyAlignment="1">
      <alignment horizontal="left" vertical="center"/>
    </xf>
    <xf numFmtId="0" fontId="4" fillId="0" borderId="2" xfId="0" applyNumberFormat="1" applyFont="1" applyFill="1" applyBorder="1" applyAlignment="1">
      <alignment horizontal="left" vertical="center"/>
    </xf>
    <xf numFmtId="0" fontId="4" fillId="0" borderId="12" xfId="0" applyNumberFormat="1" applyFont="1" applyFill="1" applyBorder="1" applyAlignment="1">
      <alignment horizontal="left" vertical="center"/>
    </xf>
    <xf numFmtId="0" fontId="4" fillId="0" borderId="11" xfId="0" applyNumberFormat="1" applyFont="1" applyFill="1" applyBorder="1" applyAlignment="1">
      <alignment horizontal="left" vertical="center"/>
    </xf>
    <xf numFmtId="0" fontId="4" fillId="0" borderId="11" xfId="0" applyNumberFormat="1" applyFont="1" applyFill="1" applyBorder="1" applyAlignment="1">
      <alignment horizontal="left" vertical="center" wrapText="1"/>
    </xf>
    <xf numFmtId="0" fontId="4" fillId="0" borderId="2" xfId="0" applyNumberFormat="1" applyFont="1" applyFill="1" applyBorder="1" applyAlignment="1">
      <alignment horizontal="left" vertical="center" wrapText="1"/>
    </xf>
    <xf numFmtId="0" fontId="4" fillId="0" borderId="12" xfId="0" applyNumberFormat="1" applyFont="1" applyFill="1" applyBorder="1" applyAlignment="1">
      <alignment horizontal="left" vertical="center" wrapText="1"/>
    </xf>
    <xf numFmtId="14" fontId="4" fillId="12" borderId="11" xfId="0" applyNumberFormat="1" applyFont="1" applyFill="1" applyBorder="1" applyAlignment="1">
      <alignment horizontal="left" vertical="center" wrapText="1"/>
    </xf>
    <xf numFmtId="14" fontId="4" fillId="12" borderId="2" xfId="0" applyNumberFormat="1" applyFont="1" applyFill="1" applyBorder="1" applyAlignment="1">
      <alignment horizontal="left" vertical="center" wrapText="1"/>
    </xf>
    <xf numFmtId="14" fontId="4" fillId="12" borderId="12" xfId="0" applyNumberFormat="1" applyFont="1" applyFill="1" applyBorder="1" applyAlignment="1">
      <alignment horizontal="left" vertical="center" wrapText="1"/>
    </xf>
    <xf numFmtId="0" fontId="4" fillId="12" borderId="11" xfId="0" applyNumberFormat="1" applyFont="1" applyFill="1" applyBorder="1" applyAlignment="1">
      <alignment horizontal="left" vertical="center" wrapText="1"/>
    </xf>
    <xf numFmtId="0" fontId="4" fillId="12" borderId="2" xfId="0" applyNumberFormat="1" applyFont="1" applyFill="1" applyBorder="1" applyAlignment="1">
      <alignment horizontal="left" vertical="center" wrapText="1"/>
    </xf>
    <xf numFmtId="0" fontId="4" fillId="12" borderId="12" xfId="0" applyNumberFormat="1" applyFont="1" applyFill="1" applyBorder="1" applyAlignment="1">
      <alignment horizontal="left" vertical="center" wrapText="1"/>
    </xf>
    <xf numFmtId="49" fontId="4" fillId="0" borderId="11" xfId="0" applyNumberFormat="1" applyFont="1" applyFill="1" applyBorder="1" applyAlignment="1">
      <alignment vertical="center" wrapText="1"/>
    </xf>
    <xf numFmtId="49" fontId="4" fillId="0" borderId="2" xfId="0" applyNumberFormat="1" applyFont="1" applyFill="1" applyBorder="1" applyAlignment="1">
      <alignment vertical="center" wrapText="1"/>
    </xf>
    <xf numFmtId="49" fontId="4" fillId="0" borderId="12" xfId="0" applyNumberFormat="1" applyFont="1" applyFill="1" applyBorder="1" applyAlignment="1">
      <alignment vertical="center" wrapText="1"/>
    </xf>
    <xf numFmtId="49" fontId="4" fillId="0" borderId="11" xfId="0" applyNumberFormat="1" applyFont="1" applyFill="1" applyBorder="1" applyAlignment="1">
      <alignment vertical="center"/>
    </xf>
    <xf numFmtId="49" fontId="4" fillId="0" borderId="2" xfId="0" applyNumberFormat="1" applyFont="1" applyFill="1" applyBorder="1" applyAlignment="1">
      <alignment vertical="center"/>
    </xf>
    <xf numFmtId="49" fontId="4" fillId="0" borderId="12" xfId="0" applyNumberFormat="1" applyFont="1" applyFill="1" applyBorder="1" applyAlignment="1">
      <alignment vertical="center"/>
    </xf>
    <xf numFmtId="14" fontId="4" fillId="0" borderId="2" xfId="0" applyNumberFormat="1" applyFont="1" applyFill="1" applyBorder="1" applyAlignment="1">
      <alignment horizontal="left" vertical="center"/>
    </xf>
    <xf numFmtId="14" fontId="4" fillId="0" borderId="12" xfId="0" applyNumberFormat="1" applyFont="1" applyFill="1" applyBorder="1" applyAlignment="1">
      <alignment horizontal="left" vertical="center"/>
    </xf>
    <xf numFmtId="176" fontId="4" fillId="0" borderId="11" xfId="0" applyNumberFormat="1" applyFont="1" applyFill="1" applyBorder="1" applyAlignment="1">
      <alignment horizontal="left" vertical="center"/>
    </xf>
    <xf numFmtId="176" fontId="4" fillId="0" borderId="2" xfId="0" applyNumberFormat="1" applyFont="1" applyFill="1" applyBorder="1" applyAlignment="1">
      <alignment horizontal="left" vertical="center"/>
    </xf>
    <xf numFmtId="176" fontId="4" fillId="0" borderId="12" xfId="0" applyNumberFormat="1" applyFont="1" applyFill="1" applyBorder="1" applyAlignment="1">
      <alignment horizontal="left" vertical="center"/>
    </xf>
    <xf numFmtId="0" fontId="4" fillId="0" borderId="11" xfId="0" applyNumberFormat="1" applyFont="1" applyFill="1" applyBorder="1" applyAlignment="1">
      <alignment vertical="center" wrapText="1"/>
    </xf>
    <xf numFmtId="0" fontId="4" fillId="0" borderId="2" xfId="0" applyNumberFormat="1" applyFont="1" applyFill="1" applyBorder="1" applyAlignment="1">
      <alignment vertical="center" wrapText="1"/>
    </xf>
    <xf numFmtId="0" fontId="4" fillId="0" borderId="12" xfId="0" applyNumberFormat="1" applyFont="1" applyFill="1" applyBorder="1" applyAlignment="1">
      <alignment vertical="center" wrapText="1"/>
    </xf>
    <xf numFmtId="0" fontId="19" fillId="0" borderId="16" xfId="0" applyNumberFormat="1" applyFont="1" applyBorder="1" applyAlignment="1">
      <alignment horizontal="left" vertical="top" wrapText="1"/>
    </xf>
    <xf numFmtId="0" fontId="19" fillId="0" borderId="18" xfId="0" applyNumberFormat="1" applyFont="1" applyBorder="1" applyAlignment="1">
      <alignment horizontal="left" vertical="top" wrapText="1"/>
    </xf>
    <xf numFmtId="0" fontId="19" fillId="0" borderId="17" xfId="0" applyFont="1" applyFill="1" applyBorder="1" applyAlignment="1">
      <alignment vertical="top" wrapText="1"/>
    </xf>
    <xf numFmtId="0" fontId="19" fillId="0" borderId="16" xfId="0" applyFont="1" applyFill="1" applyBorder="1" applyAlignment="1">
      <alignment vertical="top" wrapText="1"/>
    </xf>
    <xf numFmtId="0" fontId="19" fillId="0" borderId="18" xfId="0" applyFont="1" applyFill="1" applyBorder="1" applyAlignment="1">
      <alignment vertical="top" wrapText="1"/>
    </xf>
    <xf numFmtId="0" fontId="4" fillId="3" borderId="0" xfId="0" applyNumberFormat="1" applyFont="1" applyFill="1" applyBorder="1" applyAlignment="1" applyProtection="1">
      <alignment horizontal="left" vertical="center" wrapText="1"/>
      <protection locked="0"/>
    </xf>
    <xf numFmtId="0" fontId="4" fillId="3" borderId="7" xfId="0" applyNumberFormat="1" applyFont="1" applyFill="1" applyBorder="1" applyAlignment="1" applyProtection="1">
      <alignment horizontal="left" vertical="center" wrapText="1"/>
      <protection locked="0"/>
    </xf>
    <xf numFmtId="0" fontId="4" fillId="3" borderId="8" xfId="0" applyNumberFormat="1" applyFont="1" applyFill="1" applyBorder="1" applyAlignment="1" applyProtection="1">
      <alignment horizontal="left" vertical="center" wrapText="1"/>
    </xf>
    <xf numFmtId="0" fontId="4" fillId="3" borderId="10" xfId="0" applyNumberFormat="1" applyFont="1" applyFill="1" applyBorder="1" applyAlignment="1" applyProtection="1">
      <alignment horizontal="left" vertical="center" wrapText="1"/>
    </xf>
    <xf numFmtId="0" fontId="20" fillId="3" borderId="11" xfId="0" applyFont="1" applyFill="1" applyBorder="1" applyAlignment="1">
      <alignment horizontal="left" vertical="center" wrapText="1"/>
    </xf>
    <xf numFmtId="0" fontId="20" fillId="3" borderId="2" xfId="0" applyFont="1" applyFill="1" applyBorder="1" applyAlignment="1">
      <alignment horizontal="left" vertical="center" wrapText="1"/>
    </xf>
    <xf numFmtId="0" fontId="20" fillId="3" borderId="12" xfId="0" applyFont="1" applyFill="1" applyBorder="1" applyAlignment="1">
      <alignment horizontal="left" vertical="center" wrapText="1"/>
    </xf>
    <xf numFmtId="0" fontId="20" fillId="4" borderId="11" xfId="0" applyNumberFormat="1" applyFont="1" applyFill="1" applyBorder="1" applyAlignment="1">
      <alignment horizontal="center" vertical="center" wrapText="1"/>
    </xf>
    <xf numFmtId="0" fontId="20" fillId="4" borderId="2" xfId="0" applyNumberFormat="1" applyFont="1" applyFill="1" applyBorder="1" applyAlignment="1">
      <alignment horizontal="center" vertical="center" wrapText="1"/>
    </xf>
    <xf numFmtId="0" fontId="20" fillId="4" borderId="12" xfId="0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left" vertical="center" wrapText="1"/>
    </xf>
    <xf numFmtId="0" fontId="20" fillId="3" borderId="11" xfId="0" applyNumberFormat="1" applyFont="1" applyFill="1" applyBorder="1" applyAlignment="1">
      <alignment horizontal="left" vertical="center" wrapText="1"/>
    </xf>
    <xf numFmtId="0" fontId="20" fillId="3" borderId="2" xfId="0" applyNumberFormat="1" applyFont="1" applyFill="1" applyBorder="1" applyAlignment="1">
      <alignment horizontal="left" vertical="center" wrapText="1"/>
    </xf>
    <xf numFmtId="0" fontId="20" fillId="3" borderId="12" xfId="0" applyNumberFormat="1" applyFont="1" applyFill="1" applyBorder="1" applyAlignment="1">
      <alignment horizontal="left" vertical="center" wrapText="1"/>
    </xf>
    <xf numFmtId="0" fontId="20" fillId="3" borderId="4" xfId="0" applyNumberFormat="1" applyFont="1" applyFill="1" applyBorder="1" applyAlignment="1">
      <alignment horizontal="left" vertical="center" wrapText="1"/>
    </xf>
    <xf numFmtId="0" fontId="20" fillId="3" borderId="5" xfId="0" applyNumberFormat="1" applyFont="1" applyFill="1" applyBorder="1" applyAlignment="1">
      <alignment horizontal="left" vertical="center" wrapText="1"/>
    </xf>
    <xf numFmtId="0" fontId="20" fillId="3" borderId="3" xfId="0" applyNumberFormat="1" applyFont="1" applyFill="1" applyBorder="1" applyAlignment="1">
      <alignment horizontal="left" vertical="center" wrapText="1"/>
    </xf>
    <xf numFmtId="0" fontId="20" fillId="4" borderId="4" xfId="0" applyNumberFormat="1" applyFont="1" applyFill="1" applyBorder="1" applyAlignment="1">
      <alignment horizontal="center" vertical="center" wrapText="1"/>
    </xf>
    <xf numFmtId="0" fontId="20" fillId="4" borderId="3" xfId="0" applyNumberFormat="1" applyFont="1" applyFill="1" applyBorder="1" applyAlignment="1">
      <alignment horizontal="center" vertical="center" wrapText="1"/>
    </xf>
    <xf numFmtId="0" fontId="20" fillId="3" borderId="6" xfId="0" applyNumberFormat="1" applyFont="1" applyFill="1" applyBorder="1" applyAlignment="1">
      <alignment horizontal="center" vertical="center" wrapText="1"/>
    </xf>
    <xf numFmtId="0" fontId="20" fillId="3" borderId="0" xfId="0" applyNumberFormat="1" applyFont="1" applyFill="1" applyBorder="1" applyAlignment="1">
      <alignment horizontal="center" vertical="center" wrapText="1"/>
    </xf>
    <xf numFmtId="0" fontId="20" fillId="3" borderId="7" xfId="0" applyNumberFormat="1" applyFont="1" applyFill="1" applyBorder="1" applyAlignment="1">
      <alignment horizontal="center" vertical="center" wrapText="1"/>
    </xf>
    <xf numFmtId="0" fontId="19" fillId="4" borderId="17" xfId="0" applyFont="1" applyFill="1" applyBorder="1" applyAlignment="1">
      <alignment vertical="top" wrapText="1"/>
    </xf>
    <xf numFmtId="0" fontId="19" fillId="9" borderId="17" xfId="0" applyFont="1" applyFill="1" applyBorder="1" applyAlignment="1">
      <alignment vertical="top" wrapText="1"/>
    </xf>
    <xf numFmtId="0" fontId="30" fillId="14" borderId="1" xfId="0" applyFont="1" applyFill="1" applyBorder="1" applyAlignment="1">
      <alignment vertical="center" wrapText="1"/>
    </xf>
  </cellXfs>
  <cellStyles count="210">
    <cellStyle name="Followed Hyperlink" xfId="1"/>
    <cellStyle name="Hyperlink" xfId="2"/>
    <cellStyle name="ハイパーリンク" xfId="3" builtinId="8" hidden="1"/>
    <cellStyle name="ハイパーリンク" xfId="4" builtinId="8" hidden="1"/>
    <cellStyle name="ハイパーリンク" xfId="5" builtinId="8" hidden="1"/>
    <cellStyle name="ハイパーリンク" xfId="6" builtinId="8" hidden="1"/>
    <cellStyle name="ハイパーリンク" xfId="8" builtinId="8" hidden="1"/>
    <cellStyle name="ハイパーリンク" xfId="9" builtinId="8" hidden="1"/>
    <cellStyle name="ハイパーリンク" xfId="10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6" builtinId="8" hidden="1"/>
    <cellStyle name="ハイパーリンク" xfId="17" builtinId="8" hidden="1"/>
    <cellStyle name="ハイパーリンク" xfId="18" builtinId="8" hidden="1"/>
    <cellStyle name="ハイパーリンク" xfId="19" builtinId="8" hidden="1"/>
    <cellStyle name="ハイパーリンク" xfId="20" builtinId="8" hidden="1"/>
    <cellStyle name="ハイパーリンク" xfId="21" builtinId="8" hidden="1"/>
    <cellStyle name="ハイパーリンク" xfId="22" builtinId="8" hidden="1"/>
    <cellStyle name="ハイパーリンク" xfId="23" builtinId="8" hidden="1"/>
    <cellStyle name="ハイパーリンク" xfId="24" builtinId="8" hidden="1"/>
    <cellStyle name="ハイパーリンク" xfId="25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1" builtinId="8" hidden="1"/>
    <cellStyle name="ハイパーリンク" xfId="32" builtinId="8" hidden="1"/>
    <cellStyle name="ハイパーリンク" xfId="34" builtinId="8" hidden="1"/>
    <cellStyle name="ハイパーリンク" xfId="35" builtinId="8" hidden="1"/>
    <cellStyle name="ハイパーリンク" xfId="36" builtinId="8" hidden="1"/>
    <cellStyle name="ハイパーリンク" xfId="37" builtinId="8" hidden="1"/>
    <cellStyle name="ハイパーリンク" xfId="38" builtinId="8" hidden="1"/>
    <cellStyle name="ハイパーリンク" xfId="39" builtinId="8" hidden="1"/>
    <cellStyle name="ハイパーリンク" xfId="40" builtinId="8" hidden="1"/>
    <cellStyle name="ハイパーリンク" xfId="41" builtinId="8" hidden="1"/>
    <cellStyle name="ハイパーリンク" xfId="42" builtinId="8" hidden="1"/>
    <cellStyle name="ハイパーリンク" xfId="43" builtinId="8" hidden="1"/>
    <cellStyle name="ハイパーリンク" xfId="44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48" builtinId="8" hidden="1"/>
    <cellStyle name="ハイパーリンク" xfId="49" builtinId="8" hidden="1"/>
    <cellStyle name="ハイパーリンク" xfId="50" builtinId="8" hidden="1"/>
    <cellStyle name="ハイパーリンク" xfId="51" builtinId="8" hidden="1"/>
    <cellStyle name="ハイパーリンク" xfId="52" builtinId="8" hidden="1"/>
    <cellStyle name="ハイパーリンク" xfId="53" builtinId="8" hidden="1"/>
    <cellStyle name="ハイパーリンク" xfId="54" builtinId="8" hidden="1"/>
    <cellStyle name="ハイパーリンク" xfId="55" builtinId="8" hidden="1"/>
    <cellStyle name="ハイパーリンク" xfId="56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2" builtinId="8" hidden="1"/>
    <cellStyle name="ハイパーリンク" xfId="63" builtinId="8" hidden="1"/>
    <cellStyle name="ハイパーリンク" xfId="64" builtinId="8" hidden="1"/>
    <cellStyle name="ハイパーリンク" xfId="66" builtinId="8" hidden="1"/>
    <cellStyle name="ハイパーリンク" xfId="67" builtinId="8" hidden="1"/>
    <cellStyle name="ハイパーリンク" xfId="68" builtinId="8" hidden="1"/>
    <cellStyle name="ハイパーリンク" xfId="69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79" builtinId="8" hidden="1"/>
    <cellStyle name="ハイパーリンク" xfId="80" builtinId="8" hidden="1"/>
    <cellStyle name="ハイパーリンク" xfId="81" builtinId="8" hidden="1"/>
    <cellStyle name="ハイパーリンク" xfId="82" builtinId="8" hidden="1"/>
    <cellStyle name="ハイパーリンク" xfId="83" builtinId="8" hidden="1"/>
    <cellStyle name="ハイパーリンク" xfId="84" builtinId="8" hidden="1"/>
    <cellStyle name="ハイパーリンク" xfId="85" builtinId="8" hidden="1"/>
    <cellStyle name="ハイパーリンク" xfId="86" builtinId="8" hidden="1"/>
    <cellStyle name="ハイパーリンク" xfId="87" builtinId="8" hidden="1"/>
    <cellStyle name="ハイパーリンク" xfId="88" builtinId="8" hidden="1"/>
    <cellStyle name="ハイパーリンク" xfId="89" builtinId="8" hidden="1"/>
    <cellStyle name="ハイパーリンク" xfId="90" builtinId="8" hidden="1"/>
    <cellStyle name="ハイパーリンク" xfId="91" builtinId="8" hidden="1"/>
    <cellStyle name="ハイパーリンク" xfId="92" builtinId="8" hidden="1"/>
    <cellStyle name="ハイパーリンク" xfId="93" builtinId="8" hidden="1"/>
    <cellStyle name="ハイパーリンク" xfId="94" builtinId="8" hidden="1"/>
    <cellStyle name="ハイパーリンク" xfId="95" builtinId="8" hidden="1"/>
    <cellStyle name="ハイパーリンク" xfId="96" builtinId="8" hidden="1"/>
    <cellStyle name="ハイパーリンク" xfId="97" builtinId="8" hidden="1"/>
    <cellStyle name="ハイパーリンク" xfId="98" builtinId="8" hidden="1"/>
    <cellStyle name="ハイパーリンク" xfId="99" builtinId="8" hidden="1"/>
    <cellStyle name="ハイパーリンク" xfId="100" builtinId="8" hidden="1"/>
    <cellStyle name="ハイパーリンク" xfId="101" builtinId="8" hidden="1"/>
    <cellStyle name="ハイパーリンク" xfId="102" builtinId="8" hidden="1"/>
    <cellStyle name="ハイパーリンク" xfId="103" builtinId="8" hidden="1"/>
    <cellStyle name="ハイパーリンク" xfId="104" builtinId="8" hidden="1"/>
    <cellStyle name="ハイパーリンク" xfId="105" builtinId="8" hidden="1"/>
    <cellStyle name="ハイパーリンク" xfId="106" builtinId="8" hidden="1"/>
    <cellStyle name="ハイパーリンク" xfId="107" builtinId="8" hidden="1"/>
    <cellStyle name="ハイパーリンク" xfId="108" builtinId="8" hidden="1"/>
    <cellStyle name="ハイパーリンク" xfId="109" builtinId="8" hidden="1"/>
    <cellStyle name="ハイパーリンク" xfId="110" builtinId="8" hidden="1"/>
    <cellStyle name="ハイパーリンク" xfId="111" builtinId="8" hidden="1"/>
    <cellStyle name="ハイパーリンク" xfId="112" builtinId="8" hidden="1"/>
    <cellStyle name="ハイパーリンク" xfId="113" builtinId="8" hidden="1"/>
    <cellStyle name="ハイパーリンク" xfId="114" builtinId="8" hidden="1"/>
    <cellStyle name="ハイパーリンク" xfId="115" builtinId="8" hidden="1"/>
    <cellStyle name="ハイパーリンク" xfId="116" builtinId="8" hidden="1"/>
    <cellStyle name="ハイパーリンク" xfId="117" builtinId="8" hidden="1"/>
    <cellStyle name="ハイパーリンク" xfId="118" builtinId="8" hidden="1"/>
    <cellStyle name="ハイパーリンク" xfId="119" builtinId="8" hidden="1"/>
    <cellStyle name="ハイパーリンク" xfId="120" builtinId="8" hidden="1"/>
    <cellStyle name="ハイパーリンク" xfId="121" builtinId="8" hidden="1"/>
    <cellStyle name="ハイパーリンク" xfId="122" builtinId="8" hidden="1"/>
    <cellStyle name="ハイパーリンク" xfId="123" builtinId="8" hidden="1"/>
    <cellStyle name="ハイパーリンク" xfId="124" builtinId="8" hidden="1"/>
    <cellStyle name="ハイパーリンク" xfId="125" builtinId="8" hidden="1"/>
    <cellStyle name="ハイパーリンク" xfId="126" builtinId="8" hidden="1"/>
    <cellStyle name="ハイパーリンク" xfId="127" builtinId="8" hidden="1"/>
    <cellStyle name="ハイパーリンク" xfId="128" builtinId="8" hidden="1"/>
    <cellStyle name="ハイパーリンク" xfId="129" builtinId="8" hidden="1"/>
    <cellStyle name="ハイパーリンク" xfId="130" builtinId="8" hidden="1"/>
    <cellStyle name="ハイパーリンク" xfId="131" builtinId="8" hidden="1"/>
    <cellStyle name="ハイパーリンク" xfId="132" builtinId="8" hidden="1"/>
    <cellStyle name="ハイパーリンク" xfId="133" builtinId="8" hidden="1"/>
    <cellStyle name="ハイパーリンク" xfId="134" builtinId="8" hidden="1"/>
    <cellStyle name="ハイパーリンク" xfId="135" builtinId="8" hidden="1"/>
    <cellStyle name="ハイパーリンク" xfId="136" builtinId="8" hidden="1"/>
    <cellStyle name="ハイパーリンク" xfId="137" builtinId="8" hidden="1"/>
    <cellStyle name="ハイパーリンク" xfId="138" builtinId="8" hidden="1"/>
    <cellStyle name="ハイパーリンク" xfId="139" builtinId="8" hidden="1"/>
    <cellStyle name="ハイパーリンク" xfId="140" builtinId="8" hidden="1"/>
    <cellStyle name="ハイパーリンク" xfId="141" builtinId="8" hidden="1"/>
    <cellStyle name="ハイパーリンク" xfId="142" builtinId="8" hidden="1"/>
    <cellStyle name="ハイパーリンク" xfId="144" builtinId="8" hidden="1"/>
    <cellStyle name="ハイパーリンク" xfId="145" builtinId="8" hidden="1"/>
    <cellStyle name="ハイパーリンク" xfId="146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7" builtinId="8" hidden="1"/>
    <cellStyle name="ハイパーリンク" xfId="168" builtinId="8" hidden="1"/>
    <cellStyle name="ハイパーリンク" xfId="169" builtinId="8" hidden="1"/>
    <cellStyle name="ハイパーリンク" xfId="170" builtinId="8" hidden="1"/>
    <cellStyle name="ハイパーリンク" xfId="171" builtinId="8" hidden="1"/>
    <cellStyle name="ハイパーリンク" xfId="172" builtinId="8" hidden="1"/>
    <cellStyle name="ハイパーリンク" xfId="173" builtinId="8" hidden="1"/>
    <cellStyle name="ハイパーリンク" xfId="174" builtinId="8" hidden="1"/>
    <cellStyle name="ハイパーリンク" xfId="175" builtinId="8" hidden="1"/>
    <cellStyle name="ハイパーリンク" xfId="176" builtinId="8" hidden="1"/>
    <cellStyle name="ハイパーリンク" xfId="177" builtinId="8" hidden="1"/>
    <cellStyle name="ハイパーリンク" xfId="178" builtinId="8" hidden="1"/>
    <cellStyle name="ハイパーリンク" xfId="179" builtinId="8" hidden="1"/>
    <cellStyle name="ハイパーリンク" xfId="180" builtinId="8" hidden="1"/>
    <cellStyle name="ハイパーリンク" xfId="181" builtinId="8" hidden="1"/>
    <cellStyle name="ハイパーリンク" xfId="182" builtinId="8" hidden="1"/>
    <cellStyle name="ハイパーリンク" xfId="183" builtinId="8" hidden="1"/>
    <cellStyle name="ハイパーリンク" xfId="184" builtinId="8" hidden="1"/>
    <cellStyle name="ハイパーリンク" xfId="185" builtinId="8" hidden="1"/>
    <cellStyle name="ハイパーリンク" xfId="186" builtinId="8" hidden="1"/>
    <cellStyle name="ハイパーリンク" xfId="187" builtinId="8" hidden="1"/>
    <cellStyle name="ハイパーリンク" xfId="188" builtinId="8" hidden="1"/>
    <cellStyle name="ハイパーリンク" xfId="189" builtinId="8" hidden="1"/>
    <cellStyle name="ハイパーリンク" xfId="190" builtinId="8" hidden="1"/>
    <cellStyle name="ハイパーリンク" xfId="191" builtinId="8" hidden="1"/>
    <cellStyle name="ハイパーリンク" xfId="192" builtinId="8" hidden="1"/>
    <cellStyle name="ハイパーリンク" xfId="193" builtinId="8" hidden="1"/>
    <cellStyle name="ハイパーリンク" xfId="194" builtinId="8" hidden="1"/>
    <cellStyle name="ハイパーリンク" xfId="195" builtinId="8" hidden="1"/>
    <cellStyle name="ハイパーリンク" xfId="196" builtinId="8" hidden="1"/>
    <cellStyle name="ハイパーリンク" xfId="197" builtinId="8" hidden="1"/>
    <cellStyle name="ハイパーリンク" xfId="198" builtinId="8" hidden="1"/>
    <cellStyle name="ハイパーリンク" xfId="199" builtinId="8" hidden="1"/>
    <cellStyle name="ハイパーリンク" xfId="200" builtinId="8" hidden="1"/>
    <cellStyle name="ハイパーリンク" xfId="201" builtinId="8" hidden="1"/>
    <cellStyle name="ハイパーリンク" xfId="202" builtinId="8" hidden="1"/>
    <cellStyle name="ハイパーリンク" xfId="203" builtinId="8" hidden="1"/>
    <cellStyle name="ハイパーリンク" xfId="204" builtinId="8" hidden="1"/>
    <cellStyle name="ハイパーリンク" xfId="205" builtinId="8" hidden="1"/>
    <cellStyle name="ハイパーリンク" xfId="206" builtinId="8" hidden="1"/>
    <cellStyle name="ハイパーリンク" xfId="207" builtinId="8" hidden="1"/>
    <cellStyle name="ハイパーリンク" xfId="208" builtinId="8" hidden="1"/>
    <cellStyle name="ハイパーリンク" xfId="209" builtinId="8" hidden="1"/>
    <cellStyle name="標準" xfId="0" builtinId="0"/>
    <cellStyle name="表示済みのハイパーリンク" xfId="7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3" builtinId="9" hidden="1"/>
    <cellStyle name="表示済みのハイパーリンク" xfId="60" builtinId="9" hidden="1"/>
    <cellStyle name="表示済みのハイパーリンク" xfId="58" builtinId="9" hidden="1"/>
    <cellStyle name="表示済みのハイパーリンク" xfId="65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143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</cellStyles>
  <dxfs count="20"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44"/>
  </sheetPr>
  <dimension ref="A1:CI73"/>
  <sheetViews>
    <sheetView showGridLines="0" view="pageBreakPreview" zoomScaleNormal="100" zoomScaleSheetLayoutView="100" workbookViewId="0">
      <selection activeCell="AA21" sqref="AA21"/>
    </sheetView>
  </sheetViews>
  <sheetFormatPr defaultColWidth="2.125" defaultRowHeight="13.5" customHeight="1"/>
  <cols>
    <col min="1" max="64" width="2.125" style="4"/>
    <col min="65" max="65" width="23.375" style="4" customWidth="1"/>
    <col min="66" max="66" width="8" style="4" customWidth="1"/>
    <col min="67" max="16384" width="2.125" style="4"/>
  </cols>
  <sheetData>
    <row r="1" spans="1:87" ht="13.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3"/>
      <c r="BM1" s="109" t="s">
        <v>200</v>
      </c>
      <c r="BN1" s="4" t="s">
        <v>35</v>
      </c>
    </row>
    <row r="2" spans="1:87" ht="13.5" customHeight="1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7"/>
      <c r="BM2" s="109">
        <v>10283</v>
      </c>
      <c r="BN2" s="4" t="s">
        <v>36</v>
      </c>
    </row>
    <row r="3" spans="1:87" ht="13.5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1"/>
      <c r="BM3" s="109" t="str">
        <f ca="1">RIGHT(J16,LEN(J16)-FIND(CHAR(9),SUBSTITUTE(J16," ",CHAR(9),2)))</f>
        <v>店別セール発注製品マスタ作成</v>
      </c>
      <c r="BN3" s="4" t="s">
        <v>33</v>
      </c>
    </row>
    <row r="4" spans="1:87" ht="13.5" customHeight="1">
      <c r="A4" s="12" t="s">
        <v>0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5"/>
      <c r="AW4" s="16"/>
      <c r="AX4" s="15"/>
      <c r="AY4" s="15"/>
      <c r="AZ4" s="16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7"/>
      <c r="BM4" s="109" t="str">
        <f>BM1&amp;"-"&amp;BM2</f>
        <v>opm-10283</v>
      </c>
      <c r="BN4" s="4" t="s">
        <v>31</v>
      </c>
      <c r="CA4" s="18"/>
      <c r="CB4" s="18"/>
      <c r="CC4" s="18"/>
      <c r="CD4" s="18"/>
      <c r="CE4" s="18"/>
      <c r="CF4" s="18"/>
      <c r="CG4" s="18"/>
      <c r="CH4" s="18"/>
      <c r="CI4" s="18"/>
    </row>
    <row r="5" spans="1:87" ht="13.5" customHeight="1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  <c r="AF5" s="14"/>
      <c r="AG5" s="14"/>
      <c r="AH5" s="14"/>
      <c r="AI5" s="14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15"/>
      <c r="AW5" s="16"/>
      <c r="AX5" s="15"/>
      <c r="AY5" s="15"/>
      <c r="AZ5" s="16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7"/>
      <c r="BM5" s="109"/>
      <c r="CA5" s="18"/>
      <c r="CB5" s="18"/>
      <c r="CC5" s="18"/>
      <c r="CD5" s="18"/>
      <c r="CE5" s="18"/>
      <c r="CF5" s="18"/>
      <c r="CG5" s="18"/>
      <c r="CH5" s="18"/>
      <c r="CI5" s="18"/>
    </row>
    <row r="6" spans="1:87" ht="13.5" customHeight="1">
      <c r="A6" s="8"/>
      <c r="B6" s="9"/>
      <c r="C6" s="9"/>
      <c r="D6" s="9"/>
      <c r="E6" s="9"/>
      <c r="F6" s="9"/>
      <c r="G6" s="9"/>
      <c r="H6" s="9"/>
      <c r="I6" s="9"/>
      <c r="J6" s="9"/>
      <c r="K6" s="166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  <c r="AH6" s="167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19"/>
      <c r="BM6" s="109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18"/>
      <c r="CF6" s="18"/>
      <c r="CG6" s="18"/>
      <c r="CH6" s="18"/>
      <c r="CI6" s="18"/>
    </row>
    <row r="7" spans="1:87" ht="13.5" customHeight="1">
      <c r="A7" s="21"/>
      <c r="B7" s="10"/>
      <c r="C7" s="10"/>
      <c r="D7" s="10"/>
      <c r="E7" s="10"/>
      <c r="F7" s="10"/>
      <c r="G7" s="10"/>
      <c r="H7" s="10"/>
      <c r="I7" s="10"/>
      <c r="J7" s="10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1"/>
      <c r="BM7" s="109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18"/>
      <c r="CF7" s="18"/>
      <c r="CG7" s="18"/>
      <c r="CH7" s="18"/>
      <c r="CI7" s="18"/>
    </row>
    <row r="8" spans="1:87" ht="13.5" customHeight="1">
      <c r="A8" s="169" t="s">
        <v>27</v>
      </c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0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1"/>
      <c r="BM8" s="109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18"/>
      <c r="CF8" s="18"/>
      <c r="CG8" s="18"/>
      <c r="CH8" s="18"/>
      <c r="CI8" s="18"/>
    </row>
    <row r="9" spans="1:87" ht="13.5" customHeight="1">
      <c r="A9" s="172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0"/>
      <c r="AE9" s="170"/>
      <c r="AF9" s="170"/>
      <c r="AG9" s="170"/>
      <c r="AH9" s="170"/>
      <c r="AI9" s="170"/>
      <c r="AJ9" s="170"/>
      <c r="AK9" s="170"/>
      <c r="AL9" s="170"/>
      <c r="AM9" s="170"/>
      <c r="AN9" s="170"/>
      <c r="AO9" s="170"/>
      <c r="AP9" s="170"/>
      <c r="AQ9" s="170"/>
      <c r="AR9" s="170"/>
      <c r="AS9" s="170"/>
      <c r="AT9" s="170"/>
      <c r="AU9" s="170"/>
      <c r="AV9" s="170"/>
      <c r="AW9" s="170"/>
      <c r="AX9" s="170"/>
      <c r="AY9" s="170"/>
      <c r="AZ9" s="170"/>
      <c r="BA9" s="170"/>
      <c r="BB9" s="170"/>
      <c r="BC9" s="170"/>
      <c r="BD9" s="170"/>
      <c r="BE9" s="170"/>
      <c r="BF9" s="170"/>
      <c r="BG9" s="170"/>
      <c r="BH9" s="170"/>
      <c r="BI9" s="170"/>
      <c r="BJ9" s="170"/>
      <c r="BK9" s="170"/>
      <c r="BL9" s="171"/>
      <c r="BM9" s="109"/>
      <c r="CA9" s="18"/>
      <c r="CB9" s="18"/>
      <c r="CC9" s="18"/>
      <c r="CD9" s="18"/>
      <c r="CE9" s="18"/>
      <c r="CF9" s="18"/>
      <c r="CG9" s="18"/>
      <c r="CH9" s="18"/>
      <c r="CI9" s="18"/>
    </row>
    <row r="10" spans="1:87" ht="13.5" customHeight="1">
      <c r="A10" s="172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0"/>
      <c r="AE10" s="170"/>
      <c r="AF10" s="170"/>
      <c r="AG10" s="170"/>
      <c r="AH10" s="170"/>
      <c r="AI10" s="170"/>
      <c r="AJ10" s="170"/>
      <c r="AK10" s="170"/>
      <c r="AL10" s="170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170"/>
      <c r="BG10" s="170"/>
      <c r="BH10" s="170"/>
      <c r="BI10" s="170"/>
      <c r="BJ10" s="170"/>
      <c r="BK10" s="170"/>
      <c r="BL10" s="171"/>
      <c r="BM10" s="109"/>
      <c r="CA10" s="18"/>
      <c r="CB10" s="18"/>
      <c r="CC10" s="18"/>
      <c r="CD10" s="18"/>
      <c r="CE10" s="18"/>
      <c r="CF10" s="18"/>
      <c r="CG10" s="18"/>
      <c r="CH10" s="18"/>
      <c r="CI10" s="18"/>
    </row>
    <row r="11" spans="1:87" ht="13.5" customHeight="1">
      <c r="A11" s="2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09"/>
      <c r="CA11" s="18"/>
      <c r="CB11" s="18"/>
      <c r="CC11" s="18"/>
      <c r="CD11" s="18"/>
      <c r="CE11" s="18"/>
      <c r="CF11" s="18"/>
      <c r="CG11" s="18"/>
      <c r="CH11" s="18"/>
      <c r="CI11" s="18"/>
    </row>
    <row r="12" spans="1:87" ht="13.5" customHeight="1">
      <c r="A12" s="25"/>
      <c r="B12" s="10"/>
      <c r="C12" s="10"/>
      <c r="D12" s="10"/>
      <c r="E12" s="10"/>
      <c r="F12" s="10"/>
      <c r="G12" s="10"/>
      <c r="H12" s="10"/>
      <c r="I12" s="10"/>
      <c r="J12" s="10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1"/>
      <c r="BM12" s="109"/>
    </row>
    <row r="13" spans="1:87" ht="13.5" customHeight="1">
      <c r="A13" s="25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1"/>
      <c r="BM13" s="109"/>
    </row>
    <row r="14" spans="1:87" ht="13.5" customHeight="1">
      <c r="A14" s="25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1"/>
      <c r="BM14" s="109"/>
    </row>
    <row r="15" spans="1:87" ht="13.5" customHeight="1">
      <c r="A15" s="25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1"/>
      <c r="BM15" s="109"/>
    </row>
    <row r="16" spans="1:87" ht="13.5" customHeight="1">
      <c r="A16" s="25"/>
      <c r="B16" s="10"/>
      <c r="C16" s="10"/>
      <c r="D16" s="10"/>
      <c r="E16" s="10"/>
      <c r="F16" s="10"/>
      <c r="G16" s="10"/>
      <c r="H16" s="10"/>
      <c r="I16" s="10"/>
      <c r="J16" s="176" t="str">
        <f ca="1">SUBSTITUTE(MID(CELL("filename"),SEARCH("[",CELL("filename"))+1+9, SEARCH("]",CELL("filename"))-SEARCH("[",CELL("filename"))-1-9-5),"_"," ")</f>
        <v>BL設計書 10283 店別セール発注製品マスタ作成</v>
      </c>
      <c r="K16" s="176"/>
      <c r="L16" s="176"/>
      <c r="M16" s="176"/>
      <c r="N16" s="176"/>
      <c r="O16" s="176"/>
      <c r="P16" s="176"/>
      <c r="Q16" s="177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1"/>
    </row>
    <row r="17" spans="1:64" ht="13.5" customHeight="1">
      <c r="A17" s="25"/>
      <c r="B17" s="10"/>
      <c r="C17" s="10"/>
      <c r="D17" s="10"/>
      <c r="E17" s="10"/>
      <c r="F17" s="10"/>
      <c r="G17" s="10"/>
      <c r="H17" s="28"/>
      <c r="I17" s="29"/>
      <c r="J17" s="176"/>
      <c r="K17" s="176"/>
      <c r="L17" s="176"/>
      <c r="M17" s="176"/>
      <c r="N17" s="176"/>
      <c r="O17" s="176"/>
      <c r="P17" s="176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29"/>
      <c r="BC17" s="28"/>
      <c r="BD17" s="10"/>
      <c r="BE17" s="10"/>
      <c r="BF17" s="10"/>
      <c r="BG17" s="10"/>
      <c r="BH17" s="10"/>
      <c r="BI17" s="10"/>
      <c r="BJ17" s="10"/>
      <c r="BK17" s="10"/>
      <c r="BL17" s="11"/>
    </row>
    <row r="18" spans="1:64" ht="13.5" customHeight="1">
      <c r="A18" s="25"/>
      <c r="B18" s="10"/>
      <c r="C18" s="10"/>
      <c r="D18" s="10"/>
      <c r="E18" s="30"/>
      <c r="F18" s="30"/>
      <c r="G18" s="30"/>
      <c r="H18" s="28"/>
      <c r="I18" s="29"/>
      <c r="W18" s="175"/>
      <c r="X18" s="175"/>
      <c r="Y18" s="175"/>
      <c r="AC18" s="27"/>
      <c r="BB18" s="29"/>
      <c r="BC18" s="28"/>
      <c r="BD18" s="30"/>
      <c r="BE18" s="30"/>
      <c r="BF18" s="30"/>
      <c r="BG18" s="10"/>
      <c r="BH18" s="10"/>
      <c r="BI18" s="10"/>
      <c r="BJ18" s="10"/>
      <c r="BK18" s="10"/>
      <c r="BL18" s="11"/>
    </row>
    <row r="19" spans="1:64" ht="13.5" customHeight="1">
      <c r="A19" s="25"/>
      <c r="B19" s="10"/>
      <c r="C19" s="10"/>
      <c r="D19" s="10"/>
      <c r="E19" s="30"/>
      <c r="F19" s="30"/>
      <c r="G19" s="30"/>
      <c r="H19" s="28"/>
      <c r="I19" s="29"/>
      <c r="AC19" s="27"/>
      <c r="BB19" s="29"/>
      <c r="BC19" s="28"/>
      <c r="BD19" s="30"/>
      <c r="BE19" s="30"/>
      <c r="BF19" s="30"/>
      <c r="BG19" s="10"/>
      <c r="BH19" s="10"/>
      <c r="BI19" s="10"/>
      <c r="BJ19" s="10"/>
      <c r="BK19" s="10"/>
      <c r="BL19" s="11"/>
    </row>
    <row r="20" spans="1:64" ht="13.5" customHeight="1">
      <c r="A20" s="3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3"/>
    </row>
    <row r="21" spans="1:64" ht="13.5" customHeight="1">
      <c r="A21" s="25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1"/>
    </row>
    <row r="22" spans="1:64" ht="13.5" customHeight="1">
      <c r="A22" s="25"/>
      <c r="B22" s="10"/>
      <c r="C22" s="10"/>
      <c r="D22" s="10"/>
      <c r="E22" s="10"/>
      <c r="F22" s="10"/>
      <c r="G22" s="10"/>
      <c r="H22" s="10"/>
      <c r="I22" s="10"/>
      <c r="J22" s="10"/>
      <c r="K22" s="173" t="s">
        <v>1</v>
      </c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4" t="str">
        <f ca="1">IF($A$43="","",INDIRECT(ADDRESS(42+COUNT(AQ42:AQ72),COLUMN(A1),1,TRUE)))</f>
        <v>1.0</v>
      </c>
      <c r="AG22" s="174"/>
      <c r="AH22" s="174"/>
      <c r="AI22" s="174"/>
      <c r="AJ22" s="174"/>
      <c r="AK22" s="174"/>
      <c r="AL22" s="174"/>
      <c r="AM22" s="174"/>
      <c r="AN22" s="174"/>
      <c r="AO22" s="174"/>
      <c r="AP22" s="174"/>
      <c r="AQ22" s="174"/>
      <c r="AR22" s="174"/>
      <c r="AS22" s="174"/>
      <c r="AT22" s="174"/>
      <c r="AU22" s="174"/>
      <c r="AV22" s="174"/>
      <c r="AW22" s="34"/>
      <c r="AX22" s="34"/>
      <c r="AY22" s="34"/>
      <c r="AZ22" s="34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1"/>
    </row>
    <row r="23" spans="1:64" ht="13.5" customHeight="1">
      <c r="A23" s="25"/>
      <c r="B23" s="10"/>
      <c r="C23" s="10"/>
      <c r="D23" s="10"/>
      <c r="E23" s="10"/>
      <c r="F23" s="10"/>
      <c r="G23" s="10"/>
      <c r="H23" s="10"/>
      <c r="I23" s="10"/>
      <c r="J23" s="10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  <c r="AA23" s="173"/>
      <c r="AB23" s="173"/>
      <c r="AC23" s="173"/>
      <c r="AD23" s="173"/>
      <c r="AE23" s="173"/>
      <c r="AF23" s="174"/>
      <c r="AG23" s="174"/>
      <c r="AH23" s="174"/>
      <c r="AI23" s="174"/>
      <c r="AJ23" s="174"/>
      <c r="AK23" s="174"/>
      <c r="AL23" s="174"/>
      <c r="AM23" s="174"/>
      <c r="AN23" s="174"/>
      <c r="AO23" s="174"/>
      <c r="AP23" s="174"/>
      <c r="AQ23" s="174"/>
      <c r="AR23" s="174"/>
      <c r="AS23" s="174"/>
      <c r="AT23" s="174"/>
      <c r="AU23" s="174"/>
      <c r="AV23" s="174"/>
      <c r="AW23" s="34"/>
      <c r="AX23" s="34"/>
      <c r="AY23" s="34"/>
      <c r="AZ23" s="34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1"/>
    </row>
    <row r="24" spans="1:64" ht="13.5" customHeight="1">
      <c r="A24" s="25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1"/>
    </row>
    <row r="25" spans="1:64" ht="13.5" customHeight="1">
      <c r="A25" s="25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1"/>
    </row>
    <row r="26" spans="1:64" ht="13.5" customHeight="1">
      <c r="A26" s="25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1"/>
    </row>
    <row r="27" spans="1:64" ht="13.5" customHeight="1">
      <c r="A27" s="25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1"/>
    </row>
    <row r="28" spans="1:64" ht="13.5" customHeight="1">
      <c r="A28" s="31"/>
      <c r="B28" s="32"/>
      <c r="C28" s="32"/>
      <c r="D28" s="32"/>
      <c r="E28" s="32"/>
      <c r="F28" s="32"/>
      <c r="G28" s="32"/>
      <c r="H28" s="32"/>
      <c r="I28" s="32"/>
      <c r="J28" s="32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3"/>
    </row>
    <row r="29" spans="1:64" ht="13.5" customHeight="1">
      <c r="A29" s="31"/>
      <c r="B29" s="32"/>
      <c r="C29" s="32"/>
      <c r="D29" s="32"/>
      <c r="E29" s="32"/>
      <c r="F29" s="32"/>
      <c r="G29" s="32"/>
      <c r="H29" s="15"/>
      <c r="I29" s="15"/>
      <c r="J29" s="15"/>
      <c r="K29" s="36"/>
      <c r="L29" s="36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3"/>
    </row>
    <row r="30" spans="1:64" ht="13.5" customHeight="1">
      <c r="A30" s="25"/>
      <c r="B30" s="15"/>
      <c r="C30" s="15"/>
      <c r="D30" s="15"/>
      <c r="E30" s="15"/>
      <c r="F30" s="15"/>
      <c r="G30" s="15"/>
      <c r="H30" s="15"/>
      <c r="I30" s="15"/>
      <c r="J30" s="15"/>
      <c r="K30" s="37"/>
      <c r="L30" s="38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1"/>
    </row>
    <row r="31" spans="1:64" ht="13.5" customHeight="1">
      <c r="A31" s="25"/>
      <c r="B31" s="15"/>
      <c r="C31" s="15"/>
      <c r="D31" s="15"/>
      <c r="E31" s="15"/>
      <c r="F31" s="15"/>
      <c r="G31" s="15"/>
      <c r="H31" s="15"/>
      <c r="I31" s="15"/>
      <c r="J31" s="15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2"/>
      <c r="BL31" s="11"/>
    </row>
    <row r="32" spans="1:64" ht="13.5" customHeight="1">
      <c r="A32" s="25"/>
      <c r="B32" s="15"/>
      <c r="C32" s="15"/>
      <c r="D32" s="15"/>
      <c r="E32" s="15"/>
      <c r="F32" s="15"/>
      <c r="G32" s="15"/>
      <c r="H32" s="15"/>
      <c r="I32" s="15"/>
      <c r="J32" s="15"/>
      <c r="K32" s="37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2"/>
      <c r="BL32" s="11"/>
    </row>
    <row r="33" spans="1:73" ht="13.5" customHeight="1">
      <c r="A33" s="25"/>
      <c r="B33" s="15"/>
      <c r="C33" s="15"/>
      <c r="D33" s="15"/>
      <c r="E33" s="15"/>
      <c r="F33" s="15"/>
      <c r="G33" s="15"/>
      <c r="H33" s="15"/>
      <c r="I33" s="15"/>
      <c r="J33" s="15"/>
      <c r="K33" s="164" t="s">
        <v>34</v>
      </c>
      <c r="L33" s="165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Q33" s="165"/>
      <c r="AR33" s="165"/>
      <c r="AS33" s="165"/>
      <c r="AT33" s="165"/>
      <c r="AU33" s="165"/>
      <c r="AV33" s="165"/>
      <c r="AW33" s="165"/>
      <c r="AX33" s="165"/>
      <c r="AY33" s="165"/>
      <c r="AZ33" s="165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2"/>
      <c r="BL33" s="11"/>
    </row>
    <row r="34" spans="1:73" ht="13.5" customHeight="1">
      <c r="A34" s="25"/>
      <c r="B34" s="15"/>
      <c r="C34" s="15"/>
      <c r="D34" s="15"/>
      <c r="E34" s="15"/>
      <c r="F34" s="15"/>
      <c r="G34" s="15"/>
      <c r="H34" s="15"/>
      <c r="I34" s="15"/>
      <c r="J34" s="15"/>
      <c r="K34" s="165"/>
      <c r="L34" s="165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165"/>
      <c r="AR34" s="165"/>
      <c r="AS34" s="165"/>
      <c r="AT34" s="165"/>
      <c r="AU34" s="165"/>
      <c r="AV34" s="165"/>
      <c r="AW34" s="165"/>
      <c r="AX34" s="165"/>
      <c r="AY34" s="165"/>
      <c r="AZ34" s="165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2"/>
      <c r="BL34" s="11"/>
    </row>
    <row r="35" spans="1:73" ht="13.5" customHeight="1">
      <c r="A35" s="25"/>
      <c r="B35" s="15"/>
      <c r="C35" s="15"/>
      <c r="D35" s="15"/>
      <c r="E35" s="15"/>
      <c r="F35" s="15"/>
      <c r="G35" s="15"/>
      <c r="H35" s="15"/>
      <c r="I35" s="15"/>
      <c r="J35" s="15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2"/>
      <c r="BL35" s="11"/>
    </row>
    <row r="36" spans="1:73" ht="13.5" customHeight="1">
      <c r="A36" s="25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2"/>
      <c r="BL36" s="11"/>
    </row>
    <row r="37" spans="1:73" ht="13.5" customHeight="1">
      <c r="A37" s="25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2"/>
      <c r="BL37" s="11"/>
    </row>
    <row r="38" spans="1:73" ht="13.5" customHeight="1">
      <c r="A38" s="39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1"/>
    </row>
    <row r="39" spans="1:73" ht="13.5" customHeight="1">
      <c r="A39" s="178" t="s">
        <v>2</v>
      </c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  <c r="AQ39" s="178"/>
      <c r="AR39" s="178"/>
      <c r="AS39" s="178"/>
      <c r="AT39" s="178"/>
      <c r="AU39" s="178"/>
      <c r="AV39" s="178"/>
      <c r="AW39" s="178"/>
      <c r="AX39" s="178"/>
      <c r="AY39" s="178"/>
      <c r="AZ39" s="178"/>
      <c r="BA39" s="178"/>
      <c r="BB39" s="178"/>
      <c r="BC39" s="178"/>
      <c r="BD39" s="178"/>
      <c r="BE39" s="178"/>
      <c r="BF39" s="178"/>
      <c r="BG39" s="178"/>
      <c r="BH39" s="178"/>
      <c r="BI39" s="178"/>
      <c r="BJ39" s="178"/>
      <c r="BK39" s="178"/>
      <c r="BL39" s="178"/>
      <c r="BN39" s="42"/>
    </row>
    <row r="40" spans="1:73" ht="13.5" customHeight="1">
      <c r="A40" s="178"/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78"/>
      <c r="W40" s="178"/>
      <c r="X40" s="178"/>
      <c r="Y40" s="178"/>
      <c r="Z40" s="178"/>
      <c r="AA40" s="178"/>
      <c r="AB40" s="178"/>
      <c r="AC40" s="178"/>
      <c r="AD40" s="178"/>
      <c r="AE40" s="178"/>
      <c r="AF40" s="178"/>
      <c r="AG40" s="178"/>
      <c r="AH40" s="178"/>
      <c r="AI40" s="178"/>
      <c r="AJ40" s="178"/>
      <c r="AK40" s="178"/>
      <c r="AL40" s="178"/>
      <c r="AM40" s="178"/>
      <c r="AN40" s="178"/>
      <c r="AO40" s="178"/>
      <c r="AP40" s="178"/>
      <c r="AQ40" s="178"/>
      <c r="AR40" s="178"/>
      <c r="AS40" s="178"/>
      <c r="AT40" s="178"/>
      <c r="AU40" s="178"/>
      <c r="AV40" s="178"/>
      <c r="AW40" s="178"/>
      <c r="AX40" s="178"/>
      <c r="AY40" s="178"/>
      <c r="AZ40" s="178"/>
      <c r="BA40" s="178"/>
      <c r="BB40" s="178"/>
      <c r="BC40" s="178"/>
      <c r="BD40" s="178"/>
      <c r="BE40" s="178"/>
      <c r="BF40" s="178"/>
      <c r="BG40" s="178"/>
      <c r="BH40" s="178"/>
      <c r="BI40" s="178"/>
      <c r="BJ40" s="178"/>
      <c r="BK40" s="178"/>
      <c r="BL40" s="178"/>
    </row>
    <row r="41" spans="1:73" ht="13.5" customHeight="1">
      <c r="A41" s="179"/>
      <c r="B41" s="179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179"/>
      <c r="Z41" s="179"/>
      <c r="AA41" s="179"/>
      <c r="AB41" s="179"/>
      <c r="AC41" s="179"/>
      <c r="AD41" s="179"/>
      <c r="AE41" s="179"/>
      <c r="AF41" s="179"/>
      <c r="AG41" s="179"/>
      <c r="AH41" s="179"/>
      <c r="AI41" s="179"/>
      <c r="AJ41" s="179"/>
      <c r="AK41" s="179"/>
      <c r="AL41" s="179"/>
      <c r="AM41" s="179"/>
      <c r="AN41" s="179"/>
      <c r="AO41" s="179"/>
      <c r="AP41" s="179"/>
      <c r="AQ41" s="179"/>
      <c r="AR41" s="179"/>
      <c r="AS41" s="179"/>
      <c r="AT41" s="179"/>
      <c r="AU41" s="179"/>
      <c r="AV41" s="179"/>
      <c r="AW41" s="179"/>
      <c r="AX41" s="179"/>
      <c r="AY41" s="179"/>
      <c r="AZ41" s="179"/>
      <c r="BA41" s="179"/>
      <c r="BB41" s="179"/>
      <c r="BC41" s="179"/>
      <c r="BD41" s="179"/>
      <c r="BE41" s="179"/>
      <c r="BF41" s="179"/>
      <c r="BG41" s="179"/>
      <c r="BH41" s="179"/>
      <c r="BI41" s="179"/>
      <c r="BJ41" s="179"/>
      <c r="BK41" s="179"/>
      <c r="BL41" s="179"/>
      <c r="BO41" s="43"/>
      <c r="BP41" s="43"/>
      <c r="BQ41" s="43"/>
      <c r="BR41" s="43"/>
      <c r="BS41" s="43"/>
      <c r="BT41" s="43"/>
      <c r="BU41" s="43"/>
    </row>
    <row r="42" spans="1:73" ht="13.5" customHeight="1">
      <c r="A42" s="44" t="s">
        <v>3</v>
      </c>
      <c r="B42" s="45"/>
      <c r="C42" s="46" t="s">
        <v>4</v>
      </c>
      <c r="D42" s="46"/>
      <c r="E42" s="46"/>
      <c r="F42" s="46"/>
      <c r="G42" s="46"/>
      <c r="H42" s="45"/>
      <c r="I42" s="46" t="s">
        <v>5</v>
      </c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5"/>
      <c r="AB42" s="46" t="s">
        <v>6</v>
      </c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4" t="s">
        <v>7</v>
      </c>
      <c r="AR42" s="46"/>
      <c r="AS42" s="46"/>
      <c r="AT42" s="46"/>
      <c r="AU42" s="45"/>
      <c r="AV42" s="46" t="s">
        <v>8</v>
      </c>
      <c r="AW42" s="46"/>
      <c r="AX42" s="46"/>
      <c r="AY42" s="46"/>
      <c r="AZ42" s="45"/>
      <c r="BA42" s="46" t="s">
        <v>20</v>
      </c>
      <c r="BB42" s="46"/>
      <c r="BC42" s="46"/>
      <c r="BD42" s="46"/>
      <c r="BE42" s="45"/>
      <c r="BF42" s="46" t="s">
        <v>21</v>
      </c>
      <c r="BG42" s="46"/>
      <c r="BH42" s="46"/>
      <c r="BI42" s="46"/>
      <c r="BJ42" s="46"/>
      <c r="BK42" s="46"/>
      <c r="BL42" s="45"/>
      <c r="BO42" s="43"/>
      <c r="BP42" s="43"/>
      <c r="BQ42" s="43"/>
      <c r="BR42" s="43"/>
      <c r="BS42" s="43"/>
      <c r="BT42" s="43"/>
      <c r="BU42" s="43"/>
    </row>
    <row r="43" spans="1:73" ht="11.25">
      <c r="A43" s="47" t="s">
        <v>26</v>
      </c>
      <c r="B43" s="48"/>
      <c r="C43" s="180" t="s">
        <v>9</v>
      </c>
      <c r="D43" s="181"/>
      <c r="E43" s="181"/>
      <c r="F43" s="181"/>
      <c r="G43" s="181"/>
      <c r="H43" s="182"/>
      <c r="I43" s="180"/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2"/>
      <c r="AB43" s="180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2"/>
      <c r="AQ43" s="183">
        <v>43297</v>
      </c>
      <c r="AR43" s="184"/>
      <c r="AS43" s="184"/>
      <c r="AT43" s="184"/>
      <c r="AU43" s="185"/>
      <c r="AV43" s="186" t="s">
        <v>91</v>
      </c>
      <c r="AW43" s="184"/>
      <c r="AX43" s="184"/>
      <c r="AY43" s="184"/>
      <c r="AZ43" s="185"/>
      <c r="BA43" s="190" t="s">
        <v>89</v>
      </c>
      <c r="BB43" s="191"/>
      <c r="BC43" s="191"/>
      <c r="BD43" s="191"/>
      <c r="BE43" s="192"/>
      <c r="BF43" s="193" t="s">
        <v>90</v>
      </c>
      <c r="BG43" s="194"/>
      <c r="BH43" s="194"/>
      <c r="BI43" s="194"/>
      <c r="BJ43" s="194"/>
      <c r="BK43" s="194"/>
      <c r="BL43" s="195"/>
      <c r="BO43" s="43"/>
      <c r="BP43" s="43"/>
      <c r="BQ43" s="43"/>
      <c r="BR43" s="43"/>
      <c r="BS43" s="43"/>
      <c r="BT43" s="43"/>
      <c r="BU43" s="43"/>
    </row>
    <row r="44" spans="1:73" ht="11.25">
      <c r="A44" s="148"/>
      <c r="B44" s="147"/>
      <c r="C44" s="196"/>
      <c r="D44" s="197"/>
      <c r="E44" s="197"/>
      <c r="F44" s="197"/>
      <c r="G44" s="197"/>
      <c r="H44" s="198"/>
      <c r="I44" s="196"/>
      <c r="J44" s="197"/>
      <c r="K44" s="197"/>
      <c r="L44" s="197"/>
      <c r="M44" s="197"/>
      <c r="N44" s="197"/>
      <c r="O44" s="197"/>
      <c r="P44" s="197"/>
      <c r="Q44" s="197"/>
      <c r="R44" s="197"/>
      <c r="S44" s="197"/>
      <c r="T44" s="197"/>
      <c r="U44" s="197"/>
      <c r="V44" s="197"/>
      <c r="W44" s="197"/>
      <c r="X44" s="197"/>
      <c r="Y44" s="197"/>
      <c r="Z44" s="197"/>
      <c r="AA44" s="198"/>
      <c r="AB44" s="199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1"/>
      <c r="AQ44" s="183"/>
      <c r="AR44" s="202"/>
      <c r="AS44" s="202"/>
      <c r="AT44" s="202"/>
      <c r="AU44" s="203"/>
      <c r="AV44" s="186"/>
      <c r="AW44" s="184"/>
      <c r="AX44" s="184"/>
      <c r="AY44" s="184"/>
      <c r="AZ44" s="185"/>
      <c r="BA44" s="204"/>
      <c r="BB44" s="205"/>
      <c r="BC44" s="205"/>
      <c r="BD44" s="205"/>
      <c r="BE44" s="206"/>
      <c r="BF44" s="187"/>
      <c r="BG44" s="188"/>
      <c r="BH44" s="188"/>
      <c r="BI44" s="188"/>
      <c r="BJ44" s="188"/>
      <c r="BK44" s="188"/>
      <c r="BL44" s="189"/>
      <c r="BO44" s="43"/>
      <c r="BP44" s="43"/>
      <c r="BQ44" s="43"/>
      <c r="BR44" s="43"/>
      <c r="BS44" s="43"/>
      <c r="BT44" s="43"/>
      <c r="BU44" s="43"/>
    </row>
    <row r="45" spans="1:73" ht="11.25">
      <c r="A45" s="47"/>
      <c r="B45" s="48"/>
      <c r="C45" s="187"/>
      <c r="D45" s="188"/>
      <c r="E45" s="188"/>
      <c r="F45" s="188"/>
      <c r="G45" s="188"/>
      <c r="H45" s="189"/>
      <c r="I45" s="187"/>
      <c r="J45" s="188"/>
      <c r="K45" s="188"/>
      <c r="L45" s="188"/>
      <c r="M45" s="188"/>
      <c r="N45" s="188"/>
      <c r="O45" s="188"/>
      <c r="P45" s="188"/>
      <c r="Q45" s="188"/>
      <c r="R45" s="188"/>
      <c r="S45" s="188"/>
      <c r="T45" s="188"/>
      <c r="U45" s="188"/>
      <c r="V45" s="188"/>
      <c r="W45" s="188"/>
      <c r="X45" s="188"/>
      <c r="Y45" s="188"/>
      <c r="Z45" s="188"/>
      <c r="AA45" s="189"/>
      <c r="AB45" s="186"/>
      <c r="AC45" s="184"/>
      <c r="AD45" s="184"/>
      <c r="AE45" s="184"/>
      <c r="AF45" s="184"/>
      <c r="AG45" s="184"/>
      <c r="AH45" s="184"/>
      <c r="AI45" s="184"/>
      <c r="AJ45" s="184"/>
      <c r="AK45" s="184"/>
      <c r="AL45" s="184"/>
      <c r="AM45" s="184"/>
      <c r="AN45" s="184"/>
      <c r="AO45" s="184"/>
      <c r="AP45" s="185"/>
      <c r="AQ45" s="183"/>
      <c r="AR45" s="184"/>
      <c r="AS45" s="184"/>
      <c r="AT45" s="184"/>
      <c r="AU45" s="185"/>
      <c r="AV45" s="186"/>
      <c r="AW45" s="184"/>
      <c r="AX45" s="184"/>
      <c r="AY45" s="184"/>
      <c r="AZ45" s="185"/>
      <c r="BA45" s="183"/>
      <c r="BB45" s="184"/>
      <c r="BC45" s="184"/>
      <c r="BD45" s="184"/>
      <c r="BE45" s="185"/>
      <c r="BF45" s="187"/>
      <c r="BG45" s="188"/>
      <c r="BH45" s="188"/>
      <c r="BI45" s="188"/>
      <c r="BJ45" s="188"/>
      <c r="BK45" s="188"/>
      <c r="BL45" s="189"/>
      <c r="BO45" s="43"/>
      <c r="BP45" s="43"/>
      <c r="BQ45" s="43"/>
      <c r="BR45" s="43"/>
      <c r="BS45" s="43"/>
      <c r="BT45" s="43"/>
      <c r="BU45" s="43"/>
    </row>
    <row r="46" spans="1:73" ht="13.5" customHeight="1">
      <c r="A46" s="49"/>
      <c r="B46" s="48"/>
      <c r="C46" s="52"/>
      <c r="D46" s="52"/>
      <c r="E46" s="52"/>
      <c r="F46" s="52"/>
      <c r="G46" s="52"/>
      <c r="H46" s="53"/>
      <c r="I46" s="207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  <c r="X46" s="208"/>
      <c r="Y46" s="208"/>
      <c r="Z46" s="208"/>
      <c r="AA46" s="209"/>
      <c r="AB46" s="180"/>
      <c r="AC46" s="181"/>
      <c r="AD46" s="181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2"/>
      <c r="AQ46" s="186"/>
      <c r="AR46" s="184"/>
      <c r="AS46" s="184"/>
      <c r="AT46" s="184"/>
      <c r="AU46" s="185"/>
      <c r="AV46" s="186"/>
      <c r="AW46" s="184"/>
      <c r="AX46" s="184"/>
      <c r="AY46" s="184"/>
      <c r="AZ46" s="185"/>
      <c r="BA46" s="186"/>
      <c r="BB46" s="184"/>
      <c r="BC46" s="184"/>
      <c r="BD46" s="184"/>
      <c r="BE46" s="185"/>
      <c r="BF46" s="186"/>
      <c r="BG46" s="184"/>
      <c r="BH46" s="184"/>
      <c r="BI46" s="184"/>
      <c r="BJ46" s="184"/>
      <c r="BK46" s="184"/>
      <c r="BL46" s="185"/>
    </row>
    <row r="47" spans="1:73" ht="13.5" customHeight="1">
      <c r="A47" s="49"/>
      <c r="B47" s="48"/>
      <c r="C47" s="52"/>
      <c r="D47" s="52"/>
      <c r="E47" s="52"/>
      <c r="F47" s="52"/>
      <c r="G47" s="52"/>
      <c r="H47" s="53"/>
      <c r="I47" s="207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  <c r="X47" s="208"/>
      <c r="Y47" s="208"/>
      <c r="Z47" s="208"/>
      <c r="AA47" s="209"/>
      <c r="AB47" s="180"/>
      <c r="AC47" s="181"/>
      <c r="AD47" s="181"/>
      <c r="AE47" s="181"/>
      <c r="AF47" s="181"/>
      <c r="AG47" s="181"/>
      <c r="AH47" s="181"/>
      <c r="AI47" s="181"/>
      <c r="AJ47" s="181"/>
      <c r="AK47" s="181"/>
      <c r="AL47" s="181"/>
      <c r="AM47" s="181"/>
      <c r="AN47" s="181"/>
      <c r="AO47" s="181"/>
      <c r="AP47" s="182"/>
      <c r="AQ47" s="186"/>
      <c r="AR47" s="184"/>
      <c r="AS47" s="184"/>
      <c r="AT47" s="184"/>
      <c r="AU47" s="185"/>
      <c r="AV47" s="186"/>
      <c r="AW47" s="184"/>
      <c r="AX47" s="184"/>
      <c r="AY47" s="184"/>
      <c r="AZ47" s="185"/>
      <c r="BA47" s="186"/>
      <c r="BB47" s="184"/>
      <c r="BC47" s="184"/>
      <c r="BD47" s="184"/>
      <c r="BE47" s="185"/>
      <c r="BF47" s="186"/>
      <c r="BG47" s="184"/>
      <c r="BH47" s="184"/>
      <c r="BI47" s="184"/>
      <c r="BJ47" s="184"/>
      <c r="BK47" s="184"/>
      <c r="BL47" s="185"/>
    </row>
    <row r="48" spans="1:73" ht="13.5" customHeight="1">
      <c r="A48" s="49"/>
      <c r="B48" s="48"/>
      <c r="C48" s="52"/>
      <c r="D48" s="52"/>
      <c r="E48" s="52"/>
      <c r="F48" s="52"/>
      <c r="G48" s="52"/>
      <c r="H48" s="53"/>
      <c r="I48" s="207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  <c r="X48" s="208"/>
      <c r="Y48" s="208"/>
      <c r="Z48" s="208"/>
      <c r="AA48" s="209"/>
      <c r="AB48" s="180"/>
      <c r="AC48" s="181"/>
      <c r="AD48" s="181"/>
      <c r="AE48" s="181"/>
      <c r="AF48" s="181"/>
      <c r="AG48" s="181"/>
      <c r="AH48" s="181"/>
      <c r="AI48" s="181"/>
      <c r="AJ48" s="181"/>
      <c r="AK48" s="181"/>
      <c r="AL48" s="181"/>
      <c r="AM48" s="181"/>
      <c r="AN48" s="181"/>
      <c r="AO48" s="181"/>
      <c r="AP48" s="182"/>
      <c r="AQ48" s="186"/>
      <c r="AR48" s="184"/>
      <c r="AS48" s="184"/>
      <c r="AT48" s="184"/>
      <c r="AU48" s="185"/>
      <c r="AV48" s="186"/>
      <c r="AW48" s="184"/>
      <c r="AX48" s="184"/>
      <c r="AY48" s="184"/>
      <c r="AZ48" s="185"/>
      <c r="BA48" s="186"/>
      <c r="BB48" s="184"/>
      <c r="BC48" s="184"/>
      <c r="BD48" s="184"/>
      <c r="BE48" s="185"/>
      <c r="BF48" s="186"/>
      <c r="BG48" s="184"/>
      <c r="BH48" s="184"/>
      <c r="BI48" s="184"/>
      <c r="BJ48" s="184"/>
      <c r="BK48" s="184"/>
      <c r="BL48" s="185"/>
    </row>
    <row r="49" spans="1:69" ht="13.5" customHeight="1">
      <c r="A49" s="49"/>
      <c r="B49" s="48"/>
      <c r="C49" s="52"/>
      <c r="D49" s="52"/>
      <c r="E49" s="52"/>
      <c r="F49" s="52"/>
      <c r="G49" s="52"/>
      <c r="H49" s="53"/>
      <c r="I49" s="207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  <c r="X49" s="208"/>
      <c r="Y49" s="208"/>
      <c r="Z49" s="208"/>
      <c r="AA49" s="209"/>
      <c r="AB49" s="180"/>
      <c r="AC49" s="181"/>
      <c r="AD49" s="181"/>
      <c r="AE49" s="181"/>
      <c r="AF49" s="181"/>
      <c r="AG49" s="181"/>
      <c r="AH49" s="181"/>
      <c r="AI49" s="181"/>
      <c r="AJ49" s="181"/>
      <c r="AK49" s="181"/>
      <c r="AL49" s="181"/>
      <c r="AM49" s="181"/>
      <c r="AN49" s="181"/>
      <c r="AO49" s="181"/>
      <c r="AP49" s="182"/>
      <c r="AQ49" s="186"/>
      <c r="AR49" s="184"/>
      <c r="AS49" s="184"/>
      <c r="AT49" s="184"/>
      <c r="AU49" s="185"/>
      <c r="AV49" s="186"/>
      <c r="AW49" s="184"/>
      <c r="AX49" s="184"/>
      <c r="AY49" s="184"/>
      <c r="AZ49" s="185"/>
      <c r="BA49" s="186"/>
      <c r="BB49" s="184"/>
      <c r="BC49" s="184"/>
      <c r="BD49" s="184"/>
      <c r="BE49" s="185"/>
      <c r="BF49" s="186"/>
      <c r="BG49" s="184"/>
      <c r="BH49" s="184"/>
      <c r="BI49" s="184"/>
      <c r="BJ49" s="184"/>
      <c r="BK49" s="184"/>
      <c r="BL49" s="185"/>
    </row>
    <row r="50" spans="1:69" ht="13.5" customHeight="1">
      <c r="A50" s="49"/>
      <c r="B50" s="48"/>
      <c r="C50" s="52"/>
      <c r="D50" s="52"/>
      <c r="E50" s="52"/>
      <c r="F50" s="52"/>
      <c r="G50" s="52"/>
      <c r="H50" s="53"/>
      <c r="I50" s="207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  <c r="X50" s="208"/>
      <c r="Y50" s="208"/>
      <c r="Z50" s="208"/>
      <c r="AA50" s="209"/>
      <c r="AB50" s="180"/>
      <c r="AC50" s="181"/>
      <c r="AD50" s="181"/>
      <c r="AE50" s="181"/>
      <c r="AF50" s="181"/>
      <c r="AG50" s="181"/>
      <c r="AH50" s="181"/>
      <c r="AI50" s="181"/>
      <c r="AJ50" s="181"/>
      <c r="AK50" s="181"/>
      <c r="AL50" s="181"/>
      <c r="AM50" s="181"/>
      <c r="AN50" s="181"/>
      <c r="AO50" s="181"/>
      <c r="AP50" s="182"/>
      <c r="AQ50" s="186"/>
      <c r="AR50" s="184"/>
      <c r="AS50" s="184"/>
      <c r="AT50" s="184"/>
      <c r="AU50" s="185"/>
      <c r="AV50" s="186"/>
      <c r="AW50" s="184"/>
      <c r="AX50" s="184"/>
      <c r="AY50" s="184"/>
      <c r="AZ50" s="185"/>
      <c r="BA50" s="186"/>
      <c r="BB50" s="184"/>
      <c r="BC50" s="184"/>
      <c r="BD50" s="184"/>
      <c r="BE50" s="185"/>
      <c r="BF50" s="186"/>
      <c r="BG50" s="184"/>
      <c r="BH50" s="184"/>
      <c r="BI50" s="184"/>
      <c r="BJ50" s="184"/>
      <c r="BK50" s="184"/>
      <c r="BL50" s="185"/>
    </row>
    <row r="51" spans="1:69" ht="13.5" customHeight="1">
      <c r="A51" s="49"/>
      <c r="B51" s="48"/>
      <c r="C51" s="52"/>
      <c r="D51" s="52"/>
      <c r="E51" s="52"/>
      <c r="F51" s="52"/>
      <c r="G51" s="52"/>
      <c r="H51" s="53"/>
      <c r="I51" s="207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  <c r="X51" s="208"/>
      <c r="Y51" s="208"/>
      <c r="Z51" s="208"/>
      <c r="AA51" s="209"/>
      <c r="AB51" s="180"/>
      <c r="AC51" s="181"/>
      <c r="AD51" s="181"/>
      <c r="AE51" s="181"/>
      <c r="AF51" s="181"/>
      <c r="AG51" s="181"/>
      <c r="AH51" s="181"/>
      <c r="AI51" s="181"/>
      <c r="AJ51" s="181"/>
      <c r="AK51" s="181"/>
      <c r="AL51" s="181"/>
      <c r="AM51" s="181"/>
      <c r="AN51" s="181"/>
      <c r="AO51" s="181"/>
      <c r="AP51" s="182"/>
      <c r="AQ51" s="186"/>
      <c r="AR51" s="184"/>
      <c r="AS51" s="184"/>
      <c r="AT51" s="184"/>
      <c r="AU51" s="185"/>
      <c r="AV51" s="186"/>
      <c r="AW51" s="184"/>
      <c r="AX51" s="184"/>
      <c r="AY51" s="184"/>
      <c r="AZ51" s="185"/>
      <c r="BA51" s="186"/>
      <c r="BB51" s="184"/>
      <c r="BC51" s="184"/>
      <c r="BD51" s="184"/>
      <c r="BE51" s="185"/>
      <c r="BF51" s="186"/>
      <c r="BG51" s="184"/>
      <c r="BH51" s="184"/>
      <c r="BI51" s="184"/>
      <c r="BJ51" s="184"/>
      <c r="BK51" s="184"/>
      <c r="BL51" s="185"/>
    </row>
    <row r="52" spans="1:69" ht="13.5" customHeight="1">
      <c r="A52" s="49"/>
      <c r="B52" s="48"/>
      <c r="C52" s="52"/>
      <c r="D52" s="52"/>
      <c r="E52" s="52"/>
      <c r="F52" s="52"/>
      <c r="G52" s="52"/>
      <c r="H52" s="53"/>
      <c r="I52" s="207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  <c r="X52" s="208"/>
      <c r="Y52" s="208"/>
      <c r="Z52" s="208"/>
      <c r="AA52" s="209"/>
      <c r="AB52" s="180"/>
      <c r="AC52" s="181"/>
      <c r="AD52" s="181"/>
      <c r="AE52" s="181"/>
      <c r="AF52" s="181"/>
      <c r="AG52" s="181"/>
      <c r="AH52" s="181"/>
      <c r="AI52" s="181"/>
      <c r="AJ52" s="181"/>
      <c r="AK52" s="181"/>
      <c r="AL52" s="181"/>
      <c r="AM52" s="181"/>
      <c r="AN52" s="181"/>
      <c r="AO52" s="181"/>
      <c r="AP52" s="182"/>
      <c r="AQ52" s="186"/>
      <c r="AR52" s="184"/>
      <c r="AS52" s="184"/>
      <c r="AT52" s="184"/>
      <c r="AU52" s="185"/>
      <c r="AV52" s="186"/>
      <c r="AW52" s="184"/>
      <c r="AX52" s="184"/>
      <c r="AY52" s="184"/>
      <c r="AZ52" s="185"/>
      <c r="BA52" s="186"/>
      <c r="BB52" s="184"/>
      <c r="BC52" s="184"/>
      <c r="BD52" s="184"/>
      <c r="BE52" s="185"/>
      <c r="BF52" s="186"/>
      <c r="BG52" s="184"/>
      <c r="BH52" s="184"/>
      <c r="BI52" s="184"/>
      <c r="BJ52" s="184"/>
      <c r="BK52" s="184"/>
      <c r="BL52" s="185"/>
      <c r="BQ52" s="54"/>
    </row>
    <row r="53" spans="1:69" ht="13.5" customHeight="1">
      <c r="A53" s="49"/>
      <c r="B53" s="48"/>
      <c r="C53" s="52"/>
      <c r="D53" s="52"/>
      <c r="E53" s="52"/>
      <c r="F53" s="52"/>
      <c r="G53" s="52"/>
      <c r="H53" s="53"/>
      <c r="I53" s="207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  <c r="X53" s="208"/>
      <c r="Y53" s="208"/>
      <c r="Z53" s="208"/>
      <c r="AA53" s="209"/>
      <c r="AB53" s="180"/>
      <c r="AC53" s="181"/>
      <c r="AD53" s="181"/>
      <c r="AE53" s="181"/>
      <c r="AF53" s="181"/>
      <c r="AG53" s="181"/>
      <c r="AH53" s="181"/>
      <c r="AI53" s="181"/>
      <c r="AJ53" s="181"/>
      <c r="AK53" s="181"/>
      <c r="AL53" s="181"/>
      <c r="AM53" s="181"/>
      <c r="AN53" s="181"/>
      <c r="AO53" s="181"/>
      <c r="AP53" s="182"/>
      <c r="AQ53" s="186"/>
      <c r="AR53" s="184"/>
      <c r="AS53" s="184"/>
      <c r="AT53" s="184"/>
      <c r="AU53" s="185"/>
      <c r="AV53" s="186"/>
      <c r="AW53" s="184"/>
      <c r="AX53" s="184"/>
      <c r="AY53" s="184"/>
      <c r="AZ53" s="185"/>
      <c r="BA53" s="186"/>
      <c r="BB53" s="184"/>
      <c r="BC53" s="184"/>
      <c r="BD53" s="184"/>
      <c r="BE53" s="185"/>
      <c r="BF53" s="186"/>
      <c r="BG53" s="184"/>
      <c r="BH53" s="184"/>
      <c r="BI53" s="184"/>
      <c r="BJ53" s="184"/>
      <c r="BK53" s="184"/>
      <c r="BL53" s="185"/>
    </row>
    <row r="54" spans="1:69" ht="13.5" customHeight="1">
      <c r="A54" s="49"/>
      <c r="B54" s="48"/>
      <c r="C54" s="52"/>
      <c r="D54" s="52"/>
      <c r="E54" s="52"/>
      <c r="F54" s="52"/>
      <c r="G54" s="52"/>
      <c r="H54" s="53"/>
      <c r="I54" s="207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  <c r="X54" s="208"/>
      <c r="Y54" s="208"/>
      <c r="Z54" s="208"/>
      <c r="AA54" s="209"/>
      <c r="AB54" s="180"/>
      <c r="AC54" s="181"/>
      <c r="AD54" s="181"/>
      <c r="AE54" s="181"/>
      <c r="AF54" s="181"/>
      <c r="AG54" s="181"/>
      <c r="AH54" s="181"/>
      <c r="AI54" s="181"/>
      <c r="AJ54" s="181"/>
      <c r="AK54" s="181"/>
      <c r="AL54" s="181"/>
      <c r="AM54" s="181"/>
      <c r="AN54" s="181"/>
      <c r="AO54" s="181"/>
      <c r="AP54" s="182"/>
      <c r="AQ54" s="186"/>
      <c r="AR54" s="184"/>
      <c r="AS54" s="184"/>
      <c r="AT54" s="184"/>
      <c r="AU54" s="185"/>
      <c r="AV54" s="186"/>
      <c r="AW54" s="184"/>
      <c r="AX54" s="184"/>
      <c r="AY54" s="184"/>
      <c r="AZ54" s="185"/>
      <c r="BA54" s="186"/>
      <c r="BB54" s="184"/>
      <c r="BC54" s="184"/>
      <c r="BD54" s="184"/>
      <c r="BE54" s="185"/>
      <c r="BF54" s="186"/>
      <c r="BG54" s="184"/>
      <c r="BH54" s="184"/>
      <c r="BI54" s="184"/>
      <c r="BJ54" s="184"/>
      <c r="BK54" s="184"/>
      <c r="BL54" s="185"/>
    </row>
    <row r="55" spans="1:69" ht="13.5" customHeight="1">
      <c r="A55" s="49"/>
      <c r="B55" s="48"/>
      <c r="C55" s="52"/>
      <c r="D55" s="52"/>
      <c r="E55" s="52"/>
      <c r="F55" s="52"/>
      <c r="G55" s="52"/>
      <c r="H55" s="53"/>
      <c r="I55" s="207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  <c r="X55" s="208"/>
      <c r="Y55" s="208"/>
      <c r="Z55" s="208"/>
      <c r="AA55" s="209"/>
      <c r="AB55" s="180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2"/>
      <c r="AQ55" s="186"/>
      <c r="AR55" s="184"/>
      <c r="AS55" s="184"/>
      <c r="AT55" s="184"/>
      <c r="AU55" s="185"/>
      <c r="AV55" s="186"/>
      <c r="AW55" s="184"/>
      <c r="AX55" s="184"/>
      <c r="AY55" s="184"/>
      <c r="AZ55" s="185"/>
      <c r="BA55" s="186"/>
      <c r="BB55" s="184"/>
      <c r="BC55" s="184"/>
      <c r="BD55" s="184"/>
      <c r="BE55" s="185"/>
      <c r="BF55" s="186"/>
      <c r="BG55" s="184"/>
      <c r="BH55" s="184"/>
      <c r="BI55" s="184"/>
      <c r="BJ55" s="184"/>
      <c r="BK55" s="184"/>
      <c r="BL55" s="185"/>
    </row>
    <row r="56" spans="1:69" ht="13.5" customHeight="1">
      <c r="A56" s="49"/>
      <c r="B56" s="48"/>
      <c r="C56" s="52"/>
      <c r="D56" s="52"/>
      <c r="E56" s="52"/>
      <c r="F56" s="52"/>
      <c r="G56" s="52"/>
      <c r="H56" s="53"/>
      <c r="I56" s="207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  <c r="X56" s="208"/>
      <c r="Y56" s="208"/>
      <c r="Z56" s="208"/>
      <c r="AA56" s="209"/>
      <c r="AB56" s="180"/>
      <c r="AC56" s="181"/>
      <c r="AD56" s="181"/>
      <c r="AE56" s="181"/>
      <c r="AF56" s="181"/>
      <c r="AG56" s="181"/>
      <c r="AH56" s="181"/>
      <c r="AI56" s="181"/>
      <c r="AJ56" s="181"/>
      <c r="AK56" s="181"/>
      <c r="AL56" s="181"/>
      <c r="AM56" s="181"/>
      <c r="AN56" s="181"/>
      <c r="AO56" s="181"/>
      <c r="AP56" s="182"/>
      <c r="AQ56" s="186"/>
      <c r="AR56" s="184"/>
      <c r="AS56" s="184"/>
      <c r="AT56" s="184"/>
      <c r="AU56" s="185"/>
      <c r="AV56" s="186"/>
      <c r="AW56" s="184"/>
      <c r="AX56" s="184"/>
      <c r="AY56" s="184"/>
      <c r="AZ56" s="185"/>
      <c r="BA56" s="186"/>
      <c r="BB56" s="184"/>
      <c r="BC56" s="184"/>
      <c r="BD56" s="184"/>
      <c r="BE56" s="185"/>
      <c r="BF56" s="186"/>
      <c r="BG56" s="184"/>
      <c r="BH56" s="184"/>
      <c r="BI56" s="184"/>
      <c r="BJ56" s="184"/>
      <c r="BK56" s="184"/>
      <c r="BL56" s="185"/>
    </row>
    <row r="57" spans="1:69" ht="13.5" customHeight="1">
      <c r="A57" s="49"/>
      <c r="B57" s="48"/>
      <c r="C57" s="52"/>
      <c r="D57" s="52"/>
      <c r="E57" s="52"/>
      <c r="F57" s="52"/>
      <c r="G57" s="52"/>
      <c r="H57" s="53"/>
      <c r="I57" s="207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  <c r="X57" s="208"/>
      <c r="Y57" s="208"/>
      <c r="Z57" s="208"/>
      <c r="AA57" s="209"/>
      <c r="AB57" s="180"/>
      <c r="AC57" s="181"/>
      <c r="AD57" s="181"/>
      <c r="AE57" s="181"/>
      <c r="AF57" s="181"/>
      <c r="AG57" s="181"/>
      <c r="AH57" s="181"/>
      <c r="AI57" s="181"/>
      <c r="AJ57" s="181"/>
      <c r="AK57" s="181"/>
      <c r="AL57" s="181"/>
      <c r="AM57" s="181"/>
      <c r="AN57" s="181"/>
      <c r="AO57" s="181"/>
      <c r="AP57" s="182"/>
      <c r="AQ57" s="186"/>
      <c r="AR57" s="184"/>
      <c r="AS57" s="184"/>
      <c r="AT57" s="184"/>
      <c r="AU57" s="185"/>
      <c r="AV57" s="186"/>
      <c r="AW57" s="184"/>
      <c r="AX57" s="184"/>
      <c r="AY57" s="184"/>
      <c r="AZ57" s="185"/>
      <c r="BA57" s="186"/>
      <c r="BB57" s="184"/>
      <c r="BC57" s="184"/>
      <c r="BD57" s="184"/>
      <c r="BE57" s="185"/>
      <c r="BF57" s="186"/>
      <c r="BG57" s="184"/>
      <c r="BH57" s="184"/>
      <c r="BI57" s="184"/>
      <c r="BJ57" s="184"/>
      <c r="BK57" s="184"/>
      <c r="BL57" s="185"/>
    </row>
    <row r="58" spans="1:69" ht="13.5" customHeight="1">
      <c r="A58" s="49"/>
      <c r="B58" s="48"/>
      <c r="C58" s="52"/>
      <c r="D58" s="52"/>
      <c r="E58" s="52"/>
      <c r="F58" s="52"/>
      <c r="G58" s="52"/>
      <c r="H58" s="53"/>
      <c r="I58" s="207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208"/>
      <c r="AA58" s="209"/>
      <c r="AB58" s="180"/>
      <c r="AC58" s="181"/>
      <c r="AD58" s="181"/>
      <c r="AE58" s="181"/>
      <c r="AF58" s="181"/>
      <c r="AG58" s="181"/>
      <c r="AH58" s="181"/>
      <c r="AI58" s="181"/>
      <c r="AJ58" s="181"/>
      <c r="AK58" s="181"/>
      <c r="AL58" s="181"/>
      <c r="AM58" s="181"/>
      <c r="AN58" s="181"/>
      <c r="AO58" s="181"/>
      <c r="AP58" s="182"/>
      <c r="AQ58" s="186"/>
      <c r="AR58" s="184"/>
      <c r="AS58" s="184"/>
      <c r="AT58" s="184"/>
      <c r="AU58" s="185"/>
      <c r="AV58" s="186"/>
      <c r="AW58" s="184"/>
      <c r="AX58" s="184"/>
      <c r="AY58" s="184"/>
      <c r="AZ58" s="185"/>
      <c r="BA58" s="186"/>
      <c r="BB58" s="184"/>
      <c r="BC58" s="184"/>
      <c r="BD58" s="184"/>
      <c r="BE58" s="185"/>
      <c r="BF58" s="186"/>
      <c r="BG58" s="184"/>
      <c r="BH58" s="184"/>
      <c r="BI58" s="184"/>
      <c r="BJ58" s="184"/>
      <c r="BK58" s="184"/>
      <c r="BL58" s="185"/>
    </row>
    <row r="59" spans="1:69" ht="13.5" customHeight="1">
      <c r="A59" s="49"/>
      <c r="B59" s="48"/>
      <c r="C59" s="52"/>
      <c r="D59" s="52"/>
      <c r="E59" s="52"/>
      <c r="F59" s="52"/>
      <c r="G59" s="52"/>
      <c r="H59" s="53"/>
      <c r="I59" s="207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  <c r="X59" s="208"/>
      <c r="Y59" s="208"/>
      <c r="Z59" s="208"/>
      <c r="AA59" s="209"/>
      <c r="AB59" s="180"/>
      <c r="AC59" s="181"/>
      <c r="AD59" s="181"/>
      <c r="AE59" s="181"/>
      <c r="AF59" s="181"/>
      <c r="AG59" s="181"/>
      <c r="AH59" s="181"/>
      <c r="AI59" s="181"/>
      <c r="AJ59" s="181"/>
      <c r="AK59" s="181"/>
      <c r="AL59" s="181"/>
      <c r="AM59" s="181"/>
      <c r="AN59" s="181"/>
      <c r="AO59" s="181"/>
      <c r="AP59" s="182"/>
      <c r="AQ59" s="186"/>
      <c r="AR59" s="184"/>
      <c r="AS59" s="184"/>
      <c r="AT59" s="184"/>
      <c r="AU59" s="185"/>
      <c r="AV59" s="186"/>
      <c r="AW59" s="184"/>
      <c r="AX59" s="184"/>
      <c r="AY59" s="184"/>
      <c r="AZ59" s="185"/>
      <c r="BA59" s="186"/>
      <c r="BB59" s="184"/>
      <c r="BC59" s="184"/>
      <c r="BD59" s="184"/>
      <c r="BE59" s="185"/>
      <c r="BF59" s="186"/>
      <c r="BG59" s="184"/>
      <c r="BH59" s="184"/>
      <c r="BI59" s="184"/>
      <c r="BJ59" s="184"/>
      <c r="BK59" s="184"/>
      <c r="BL59" s="185"/>
    </row>
    <row r="60" spans="1:69" ht="13.5" customHeight="1">
      <c r="A60" s="49"/>
      <c r="B60" s="48"/>
      <c r="C60" s="52"/>
      <c r="D60" s="52"/>
      <c r="E60" s="52"/>
      <c r="F60" s="52"/>
      <c r="G60" s="52"/>
      <c r="H60" s="53"/>
      <c r="I60" s="207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  <c r="X60" s="208"/>
      <c r="Y60" s="208"/>
      <c r="Z60" s="208"/>
      <c r="AA60" s="209"/>
      <c r="AB60" s="180"/>
      <c r="AC60" s="181"/>
      <c r="AD60" s="181"/>
      <c r="AE60" s="181"/>
      <c r="AF60" s="181"/>
      <c r="AG60" s="181"/>
      <c r="AH60" s="181"/>
      <c r="AI60" s="181"/>
      <c r="AJ60" s="181"/>
      <c r="AK60" s="181"/>
      <c r="AL60" s="181"/>
      <c r="AM60" s="181"/>
      <c r="AN60" s="181"/>
      <c r="AO60" s="181"/>
      <c r="AP60" s="182"/>
      <c r="AQ60" s="186"/>
      <c r="AR60" s="184"/>
      <c r="AS60" s="184"/>
      <c r="AT60" s="184"/>
      <c r="AU60" s="185"/>
      <c r="AV60" s="186"/>
      <c r="AW60" s="184"/>
      <c r="AX60" s="184"/>
      <c r="AY60" s="184"/>
      <c r="AZ60" s="185"/>
      <c r="BA60" s="186"/>
      <c r="BB60" s="184"/>
      <c r="BC60" s="184"/>
      <c r="BD60" s="184"/>
      <c r="BE60" s="185"/>
      <c r="BF60" s="186"/>
      <c r="BG60" s="184"/>
      <c r="BH60" s="184"/>
      <c r="BI60" s="184"/>
      <c r="BJ60" s="184"/>
      <c r="BK60" s="184"/>
      <c r="BL60" s="185"/>
    </row>
    <row r="61" spans="1:69" ht="13.5" customHeight="1">
      <c r="A61" s="49"/>
      <c r="B61" s="48"/>
      <c r="C61" s="52"/>
      <c r="D61" s="52"/>
      <c r="E61" s="52"/>
      <c r="F61" s="52"/>
      <c r="G61" s="52"/>
      <c r="H61" s="53"/>
      <c r="I61" s="207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  <c r="X61" s="208"/>
      <c r="Y61" s="208"/>
      <c r="Z61" s="208"/>
      <c r="AA61" s="209"/>
      <c r="AB61" s="180"/>
      <c r="AC61" s="181"/>
      <c r="AD61" s="181"/>
      <c r="AE61" s="181"/>
      <c r="AF61" s="181"/>
      <c r="AG61" s="181"/>
      <c r="AH61" s="181"/>
      <c r="AI61" s="181"/>
      <c r="AJ61" s="181"/>
      <c r="AK61" s="181"/>
      <c r="AL61" s="181"/>
      <c r="AM61" s="181"/>
      <c r="AN61" s="181"/>
      <c r="AO61" s="181"/>
      <c r="AP61" s="182"/>
      <c r="AQ61" s="186"/>
      <c r="AR61" s="184"/>
      <c r="AS61" s="184"/>
      <c r="AT61" s="184"/>
      <c r="AU61" s="185"/>
      <c r="AV61" s="186"/>
      <c r="AW61" s="184"/>
      <c r="AX61" s="184"/>
      <c r="AY61" s="184"/>
      <c r="AZ61" s="185"/>
      <c r="BA61" s="186"/>
      <c r="BB61" s="184"/>
      <c r="BC61" s="184"/>
      <c r="BD61" s="184"/>
      <c r="BE61" s="185"/>
      <c r="BF61" s="186"/>
      <c r="BG61" s="184"/>
      <c r="BH61" s="184"/>
      <c r="BI61" s="184"/>
      <c r="BJ61" s="184"/>
      <c r="BK61" s="184"/>
      <c r="BL61" s="185"/>
    </row>
    <row r="62" spans="1:69" ht="13.5" customHeight="1">
      <c r="A62" s="49"/>
      <c r="B62" s="48"/>
      <c r="C62" s="52"/>
      <c r="D62" s="52"/>
      <c r="E62" s="52"/>
      <c r="F62" s="52"/>
      <c r="G62" s="52"/>
      <c r="H62" s="53"/>
      <c r="I62" s="207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  <c r="X62" s="208"/>
      <c r="Y62" s="208"/>
      <c r="Z62" s="208"/>
      <c r="AA62" s="209"/>
      <c r="AB62" s="180"/>
      <c r="AC62" s="181"/>
      <c r="AD62" s="181"/>
      <c r="AE62" s="181"/>
      <c r="AF62" s="181"/>
      <c r="AG62" s="181"/>
      <c r="AH62" s="181"/>
      <c r="AI62" s="181"/>
      <c r="AJ62" s="181"/>
      <c r="AK62" s="181"/>
      <c r="AL62" s="181"/>
      <c r="AM62" s="181"/>
      <c r="AN62" s="181"/>
      <c r="AO62" s="181"/>
      <c r="AP62" s="182"/>
      <c r="AQ62" s="186"/>
      <c r="AR62" s="184"/>
      <c r="AS62" s="184"/>
      <c r="AT62" s="184"/>
      <c r="AU62" s="185"/>
      <c r="AV62" s="186"/>
      <c r="AW62" s="184"/>
      <c r="AX62" s="184"/>
      <c r="AY62" s="184"/>
      <c r="AZ62" s="185"/>
      <c r="BA62" s="186"/>
      <c r="BB62" s="184"/>
      <c r="BC62" s="184"/>
      <c r="BD62" s="184"/>
      <c r="BE62" s="185"/>
      <c r="BF62" s="186"/>
      <c r="BG62" s="184"/>
      <c r="BH62" s="184"/>
      <c r="BI62" s="184"/>
      <c r="BJ62" s="184"/>
      <c r="BK62" s="184"/>
      <c r="BL62" s="185"/>
    </row>
    <row r="63" spans="1:69" ht="13.5" customHeight="1">
      <c r="A63" s="49"/>
      <c r="B63" s="48"/>
      <c r="C63" s="52"/>
      <c r="D63" s="52"/>
      <c r="E63" s="52"/>
      <c r="F63" s="52"/>
      <c r="G63" s="52"/>
      <c r="H63" s="53"/>
      <c r="I63" s="207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  <c r="X63" s="208"/>
      <c r="Y63" s="208"/>
      <c r="Z63" s="208"/>
      <c r="AA63" s="209"/>
      <c r="AB63" s="180"/>
      <c r="AC63" s="181"/>
      <c r="AD63" s="181"/>
      <c r="AE63" s="181"/>
      <c r="AF63" s="181"/>
      <c r="AG63" s="181"/>
      <c r="AH63" s="181"/>
      <c r="AI63" s="181"/>
      <c r="AJ63" s="181"/>
      <c r="AK63" s="181"/>
      <c r="AL63" s="181"/>
      <c r="AM63" s="181"/>
      <c r="AN63" s="181"/>
      <c r="AO63" s="181"/>
      <c r="AP63" s="182"/>
      <c r="AQ63" s="186"/>
      <c r="AR63" s="184"/>
      <c r="AS63" s="184"/>
      <c r="AT63" s="184"/>
      <c r="AU63" s="185"/>
      <c r="AV63" s="186"/>
      <c r="AW63" s="184"/>
      <c r="AX63" s="184"/>
      <c r="AY63" s="184"/>
      <c r="AZ63" s="185"/>
      <c r="BA63" s="186"/>
      <c r="BB63" s="184"/>
      <c r="BC63" s="184"/>
      <c r="BD63" s="184"/>
      <c r="BE63" s="185"/>
      <c r="BF63" s="186"/>
      <c r="BG63" s="184"/>
      <c r="BH63" s="184"/>
      <c r="BI63" s="184"/>
      <c r="BJ63" s="184"/>
      <c r="BK63" s="184"/>
      <c r="BL63" s="185"/>
    </row>
    <row r="64" spans="1:69" ht="13.5" customHeight="1">
      <c r="A64" s="49"/>
      <c r="B64" s="48"/>
      <c r="C64" s="52"/>
      <c r="D64" s="52"/>
      <c r="E64" s="52"/>
      <c r="F64" s="52"/>
      <c r="G64" s="52"/>
      <c r="H64" s="53"/>
      <c r="I64" s="207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  <c r="X64" s="208"/>
      <c r="Y64" s="208"/>
      <c r="Z64" s="208"/>
      <c r="AA64" s="209"/>
      <c r="AB64" s="180"/>
      <c r="AC64" s="181"/>
      <c r="AD64" s="181"/>
      <c r="AE64" s="181"/>
      <c r="AF64" s="181"/>
      <c r="AG64" s="181"/>
      <c r="AH64" s="181"/>
      <c r="AI64" s="181"/>
      <c r="AJ64" s="181"/>
      <c r="AK64" s="181"/>
      <c r="AL64" s="181"/>
      <c r="AM64" s="181"/>
      <c r="AN64" s="181"/>
      <c r="AO64" s="181"/>
      <c r="AP64" s="182"/>
      <c r="AQ64" s="186"/>
      <c r="AR64" s="184"/>
      <c r="AS64" s="184"/>
      <c r="AT64" s="184"/>
      <c r="AU64" s="185"/>
      <c r="AV64" s="186"/>
      <c r="AW64" s="184"/>
      <c r="AX64" s="184"/>
      <c r="AY64" s="184"/>
      <c r="AZ64" s="185"/>
      <c r="BA64" s="186"/>
      <c r="BB64" s="184"/>
      <c r="BC64" s="184"/>
      <c r="BD64" s="184"/>
      <c r="BE64" s="185"/>
      <c r="BF64" s="186"/>
      <c r="BG64" s="184"/>
      <c r="BH64" s="184"/>
      <c r="BI64" s="184"/>
      <c r="BJ64" s="184"/>
      <c r="BK64" s="184"/>
      <c r="BL64" s="185"/>
    </row>
    <row r="65" spans="1:64" ht="13.5" customHeight="1">
      <c r="A65" s="49"/>
      <c r="B65" s="48"/>
      <c r="C65" s="52"/>
      <c r="D65" s="52"/>
      <c r="E65" s="52"/>
      <c r="F65" s="52"/>
      <c r="G65" s="52"/>
      <c r="H65" s="53"/>
      <c r="I65" s="207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  <c r="X65" s="208"/>
      <c r="Y65" s="208"/>
      <c r="Z65" s="208"/>
      <c r="AA65" s="209"/>
      <c r="AB65" s="180"/>
      <c r="AC65" s="181"/>
      <c r="AD65" s="181"/>
      <c r="AE65" s="181"/>
      <c r="AF65" s="181"/>
      <c r="AG65" s="181"/>
      <c r="AH65" s="181"/>
      <c r="AI65" s="181"/>
      <c r="AJ65" s="181"/>
      <c r="AK65" s="181"/>
      <c r="AL65" s="181"/>
      <c r="AM65" s="181"/>
      <c r="AN65" s="181"/>
      <c r="AO65" s="181"/>
      <c r="AP65" s="182"/>
      <c r="AQ65" s="186"/>
      <c r="AR65" s="184"/>
      <c r="AS65" s="184"/>
      <c r="AT65" s="184"/>
      <c r="AU65" s="185"/>
      <c r="AV65" s="186"/>
      <c r="AW65" s="184"/>
      <c r="AX65" s="184"/>
      <c r="AY65" s="184"/>
      <c r="AZ65" s="185"/>
      <c r="BA65" s="186"/>
      <c r="BB65" s="184"/>
      <c r="BC65" s="184"/>
      <c r="BD65" s="184"/>
      <c r="BE65" s="185"/>
      <c r="BF65" s="186"/>
      <c r="BG65" s="184"/>
      <c r="BH65" s="184"/>
      <c r="BI65" s="184"/>
      <c r="BJ65" s="184"/>
      <c r="BK65" s="184"/>
      <c r="BL65" s="185"/>
    </row>
    <row r="66" spans="1:64" ht="13.5" customHeight="1">
      <c r="A66" s="51"/>
      <c r="B66" s="50"/>
      <c r="C66" s="52"/>
      <c r="D66" s="52"/>
      <c r="E66" s="52"/>
      <c r="F66" s="52"/>
      <c r="G66" s="52"/>
      <c r="H66" s="53"/>
      <c r="I66" s="207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  <c r="X66" s="208"/>
      <c r="Y66" s="208"/>
      <c r="Z66" s="208"/>
      <c r="AA66" s="209"/>
      <c r="AB66" s="180"/>
      <c r="AC66" s="181"/>
      <c r="AD66" s="181"/>
      <c r="AE66" s="181"/>
      <c r="AF66" s="181"/>
      <c r="AG66" s="181"/>
      <c r="AH66" s="181"/>
      <c r="AI66" s="181"/>
      <c r="AJ66" s="181"/>
      <c r="AK66" s="181"/>
      <c r="AL66" s="181"/>
      <c r="AM66" s="181"/>
      <c r="AN66" s="181"/>
      <c r="AO66" s="181"/>
      <c r="AP66" s="182"/>
      <c r="AQ66" s="186"/>
      <c r="AR66" s="184"/>
      <c r="AS66" s="184"/>
      <c r="AT66" s="184"/>
      <c r="AU66" s="185"/>
      <c r="AV66" s="186"/>
      <c r="AW66" s="184"/>
      <c r="AX66" s="184"/>
      <c r="AY66" s="184"/>
      <c r="AZ66" s="185"/>
      <c r="BA66" s="186"/>
      <c r="BB66" s="184"/>
      <c r="BC66" s="184"/>
      <c r="BD66" s="184"/>
      <c r="BE66" s="185"/>
      <c r="BF66" s="186"/>
      <c r="BG66" s="184"/>
      <c r="BH66" s="184"/>
      <c r="BI66" s="184"/>
      <c r="BJ66" s="184"/>
      <c r="BK66" s="184"/>
      <c r="BL66" s="185"/>
    </row>
    <row r="67" spans="1:64" ht="13.5" customHeight="1">
      <c r="A67" s="49"/>
      <c r="B67" s="48"/>
      <c r="C67" s="52"/>
      <c r="D67" s="52"/>
      <c r="E67" s="52"/>
      <c r="F67" s="52"/>
      <c r="G67" s="52"/>
      <c r="H67" s="53"/>
      <c r="I67" s="207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  <c r="X67" s="208"/>
      <c r="Y67" s="208"/>
      <c r="Z67" s="208"/>
      <c r="AA67" s="209"/>
      <c r="AB67" s="180"/>
      <c r="AC67" s="181"/>
      <c r="AD67" s="181"/>
      <c r="AE67" s="181"/>
      <c r="AF67" s="181"/>
      <c r="AG67" s="181"/>
      <c r="AH67" s="181"/>
      <c r="AI67" s="181"/>
      <c r="AJ67" s="181"/>
      <c r="AK67" s="181"/>
      <c r="AL67" s="181"/>
      <c r="AM67" s="181"/>
      <c r="AN67" s="181"/>
      <c r="AO67" s="181"/>
      <c r="AP67" s="182"/>
      <c r="AQ67" s="186"/>
      <c r="AR67" s="184"/>
      <c r="AS67" s="184"/>
      <c r="AT67" s="184"/>
      <c r="AU67" s="185"/>
      <c r="AV67" s="186"/>
      <c r="AW67" s="184"/>
      <c r="AX67" s="184"/>
      <c r="AY67" s="184"/>
      <c r="AZ67" s="185"/>
      <c r="BA67" s="186"/>
      <c r="BB67" s="184"/>
      <c r="BC67" s="184"/>
      <c r="BD67" s="184"/>
      <c r="BE67" s="185"/>
      <c r="BF67" s="186"/>
      <c r="BG67" s="184"/>
      <c r="BH67" s="184"/>
      <c r="BI67" s="184"/>
      <c r="BJ67" s="184"/>
      <c r="BK67" s="184"/>
      <c r="BL67" s="185"/>
    </row>
    <row r="68" spans="1:64" ht="13.5" customHeight="1">
      <c r="A68" s="49"/>
      <c r="B68" s="48"/>
      <c r="C68" s="52"/>
      <c r="D68" s="52"/>
      <c r="E68" s="52"/>
      <c r="F68" s="52"/>
      <c r="G68" s="52"/>
      <c r="H68" s="53"/>
      <c r="I68" s="207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  <c r="X68" s="208"/>
      <c r="Y68" s="208"/>
      <c r="Z68" s="208"/>
      <c r="AA68" s="209"/>
      <c r="AB68" s="180"/>
      <c r="AC68" s="181"/>
      <c r="AD68" s="181"/>
      <c r="AE68" s="181"/>
      <c r="AF68" s="181"/>
      <c r="AG68" s="181"/>
      <c r="AH68" s="181"/>
      <c r="AI68" s="181"/>
      <c r="AJ68" s="181"/>
      <c r="AK68" s="181"/>
      <c r="AL68" s="181"/>
      <c r="AM68" s="181"/>
      <c r="AN68" s="181"/>
      <c r="AO68" s="181"/>
      <c r="AP68" s="182"/>
      <c r="AQ68" s="186"/>
      <c r="AR68" s="184"/>
      <c r="AS68" s="184"/>
      <c r="AT68" s="184"/>
      <c r="AU68" s="185"/>
      <c r="AV68" s="186"/>
      <c r="AW68" s="184"/>
      <c r="AX68" s="184"/>
      <c r="AY68" s="184"/>
      <c r="AZ68" s="185"/>
      <c r="BA68" s="186"/>
      <c r="BB68" s="184"/>
      <c r="BC68" s="184"/>
      <c r="BD68" s="184"/>
      <c r="BE68" s="185"/>
      <c r="BF68" s="186"/>
      <c r="BG68" s="184"/>
      <c r="BH68" s="184"/>
      <c r="BI68" s="184"/>
      <c r="BJ68" s="184"/>
      <c r="BK68" s="184"/>
      <c r="BL68" s="185"/>
    </row>
    <row r="69" spans="1:64" ht="13.5" customHeight="1">
      <c r="A69" s="49"/>
      <c r="B69" s="48"/>
      <c r="C69" s="52"/>
      <c r="D69" s="52"/>
      <c r="E69" s="52"/>
      <c r="F69" s="52"/>
      <c r="G69" s="52"/>
      <c r="H69" s="53"/>
      <c r="I69" s="207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  <c r="X69" s="208"/>
      <c r="Y69" s="208"/>
      <c r="Z69" s="208"/>
      <c r="AA69" s="209"/>
      <c r="AB69" s="180"/>
      <c r="AC69" s="181"/>
      <c r="AD69" s="181"/>
      <c r="AE69" s="181"/>
      <c r="AF69" s="181"/>
      <c r="AG69" s="181"/>
      <c r="AH69" s="181"/>
      <c r="AI69" s="181"/>
      <c r="AJ69" s="181"/>
      <c r="AK69" s="181"/>
      <c r="AL69" s="181"/>
      <c r="AM69" s="181"/>
      <c r="AN69" s="181"/>
      <c r="AO69" s="181"/>
      <c r="AP69" s="182"/>
      <c r="AQ69" s="186"/>
      <c r="AR69" s="184"/>
      <c r="AS69" s="184"/>
      <c r="AT69" s="184"/>
      <c r="AU69" s="185"/>
      <c r="AV69" s="186"/>
      <c r="AW69" s="184"/>
      <c r="AX69" s="184"/>
      <c r="AY69" s="184"/>
      <c r="AZ69" s="185"/>
      <c r="BA69" s="186"/>
      <c r="BB69" s="184"/>
      <c r="BC69" s="184"/>
      <c r="BD69" s="184"/>
      <c r="BE69" s="185"/>
      <c r="BF69" s="186"/>
      <c r="BG69" s="184"/>
      <c r="BH69" s="184"/>
      <c r="BI69" s="184"/>
      <c r="BJ69" s="184"/>
      <c r="BK69" s="184"/>
      <c r="BL69" s="185"/>
    </row>
    <row r="70" spans="1:64" ht="13.5" customHeight="1">
      <c r="A70" s="49"/>
      <c r="B70" s="48"/>
      <c r="C70" s="52"/>
      <c r="D70" s="52"/>
      <c r="E70" s="52"/>
      <c r="F70" s="52"/>
      <c r="G70" s="52"/>
      <c r="H70" s="53"/>
      <c r="I70" s="207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  <c r="X70" s="208"/>
      <c r="Y70" s="208"/>
      <c r="Z70" s="208"/>
      <c r="AA70" s="209"/>
      <c r="AB70" s="180"/>
      <c r="AC70" s="181"/>
      <c r="AD70" s="181"/>
      <c r="AE70" s="181"/>
      <c r="AF70" s="181"/>
      <c r="AG70" s="181"/>
      <c r="AH70" s="181"/>
      <c r="AI70" s="181"/>
      <c r="AJ70" s="181"/>
      <c r="AK70" s="181"/>
      <c r="AL70" s="181"/>
      <c r="AM70" s="181"/>
      <c r="AN70" s="181"/>
      <c r="AO70" s="181"/>
      <c r="AP70" s="182"/>
      <c r="AQ70" s="186"/>
      <c r="AR70" s="184"/>
      <c r="AS70" s="184"/>
      <c r="AT70" s="184"/>
      <c r="AU70" s="185"/>
      <c r="AV70" s="186"/>
      <c r="AW70" s="184"/>
      <c r="AX70" s="184"/>
      <c r="AY70" s="184"/>
      <c r="AZ70" s="185"/>
      <c r="BA70" s="186"/>
      <c r="BB70" s="184"/>
      <c r="BC70" s="184"/>
      <c r="BD70" s="184"/>
      <c r="BE70" s="185"/>
      <c r="BF70" s="186"/>
      <c r="BG70" s="184"/>
      <c r="BH70" s="184"/>
      <c r="BI70" s="184"/>
      <c r="BJ70" s="184"/>
      <c r="BK70" s="184"/>
      <c r="BL70" s="185"/>
    </row>
    <row r="71" spans="1:64" ht="13.5" customHeight="1">
      <c r="A71" s="49"/>
      <c r="B71" s="48"/>
      <c r="C71" s="52"/>
      <c r="D71" s="52"/>
      <c r="E71" s="52"/>
      <c r="F71" s="52"/>
      <c r="G71" s="52"/>
      <c r="H71" s="53"/>
      <c r="I71" s="207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  <c r="X71" s="208"/>
      <c r="Y71" s="208"/>
      <c r="Z71" s="208"/>
      <c r="AA71" s="209"/>
      <c r="AB71" s="180"/>
      <c r="AC71" s="181"/>
      <c r="AD71" s="181"/>
      <c r="AE71" s="181"/>
      <c r="AF71" s="181"/>
      <c r="AG71" s="181"/>
      <c r="AH71" s="181"/>
      <c r="AI71" s="181"/>
      <c r="AJ71" s="181"/>
      <c r="AK71" s="181"/>
      <c r="AL71" s="181"/>
      <c r="AM71" s="181"/>
      <c r="AN71" s="181"/>
      <c r="AO71" s="181"/>
      <c r="AP71" s="182"/>
      <c r="AQ71" s="186"/>
      <c r="AR71" s="184"/>
      <c r="AS71" s="184"/>
      <c r="AT71" s="184"/>
      <c r="AU71" s="185"/>
      <c r="AV71" s="186"/>
      <c r="AW71" s="184"/>
      <c r="AX71" s="184"/>
      <c r="AY71" s="184"/>
      <c r="AZ71" s="185"/>
      <c r="BA71" s="186"/>
      <c r="BB71" s="184"/>
      <c r="BC71" s="184"/>
      <c r="BD71" s="184"/>
      <c r="BE71" s="185"/>
      <c r="BF71" s="186"/>
      <c r="BG71" s="184"/>
      <c r="BH71" s="184"/>
      <c r="BI71" s="184"/>
      <c r="BJ71" s="184"/>
      <c r="BK71" s="184"/>
      <c r="BL71" s="185"/>
    </row>
    <row r="72" spans="1:64" ht="13.5" customHeight="1">
      <c r="A72" s="49"/>
      <c r="B72" s="48"/>
      <c r="C72" s="52"/>
      <c r="D72" s="52"/>
      <c r="E72" s="52"/>
      <c r="F72" s="52"/>
      <c r="G72" s="52"/>
      <c r="H72" s="53"/>
      <c r="I72" s="207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  <c r="X72" s="208"/>
      <c r="Y72" s="208"/>
      <c r="Z72" s="208"/>
      <c r="AA72" s="209"/>
      <c r="AB72" s="180"/>
      <c r="AC72" s="181"/>
      <c r="AD72" s="181"/>
      <c r="AE72" s="181"/>
      <c r="AF72" s="181"/>
      <c r="AG72" s="181"/>
      <c r="AH72" s="181"/>
      <c r="AI72" s="181"/>
      <c r="AJ72" s="181"/>
      <c r="AK72" s="181"/>
      <c r="AL72" s="181"/>
      <c r="AM72" s="181"/>
      <c r="AN72" s="181"/>
      <c r="AO72" s="181"/>
      <c r="AP72" s="182"/>
      <c r="AQ72" s="186"/>
      <c r="AR72" s="184"/>
      <c r="AS72" s="184"/>
      <c r="AT72" s="184"/>
      <c r="AU72" s="185"/>
      <c r="AV72" s="186"/>
      <c r="AW72" s="184"/>
      <c r="AX72" s="184"/>
      <c r="AY72" s="184"/>
      <c r="AZ72" s="185"/>
      <c r="BA72" s="186"/>
      <c r="BB72" s="184"/>
      <c r="BC72" s="184"/>
      <c r="BD72" s="184"/>
      <c r="BE72" s="185"/>
      <c r="BF72" s="186"/>
      <c r="BG72" s="184"/>
      <c r="BH72" s="184"/>
      <c r="BI72" s="184"/>
      <c r="BJ72" s="184"/>
      <c r="BK72" s="184"/>
      <c r="BL72" s="185"/>
    </row>
    <row r="73" spans="1:64" ht="13.5" customHeight="1">
      <c r="A73" s="49"/>
      <c r="B73" s="48"/>
      <c r="C73" s="52"/>
      <c r="D73" s="52"/>
      <c r="E73" s="52"/>
      <c r="F73" s="52"/>
      <c r="G73" s="52"/>
      <c r="H73" s="53"/>
      <c r="I73" s="207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  <c r="X73" s="208"/>
      <c r="Y73" s="208"/>
      <c r="Z73" s="208"/>
      <c r="AA73" s="209"/>
      <c r="AB73" s="180"/>
      <c r="AC73" s="181"/>
      <c r="AD73" s="181"/>
      <c r="AE73" s="181"/>
      <c r="AF73" s="181"/>
      <c r="AG73" s="181"/>
      <c r="AH73" s="181"/>
      <c r="AI73" s="181"/>
      <c r="AJ73" s="181"/>
      <c r="AK73" s="181"/>
      <c r="AL73" s="181"/>
      <c r="AM73" s="181"/>
      <c r="AN73" s="181"/>
      <c r="AO73" s="181"/>
      <c r="AP73" s="182"/>
      <c r="AQ73" s="186"/>
      <c r="AR73" s="184"/>
      <c r="AS73" s="184"/>
      <c r="AT73" s="184"/>
      <c r="AU73" s="185"/>
      <c r="AV73" s="186"/>
      <c r="AW73" s="184"/>
      <c r="AX73" s="184"/>
      <c r="AY73" s="184"/>
      <c r="AZ73" s="185"/>
      <c r="BA73" s="186"/>
      <c r="BB73" s="184"/>
      <c r="BC73" s="184"/>
      <c r="BD73" s="184"/>
      <c r="BE73" s="185"/>
      <c r="BF73" s="186"/>
      <c r="BG73" s="184"/>
      <c r="BH73" s="184"/>
      <c r="BI73" s="184"/>
      <c r="BJ73" s="184"/>
      <c r="BK73" s="184"/>
      <c r="BL73" s="185"/>
    </row>
  </sheetData>
  <dataConsolidate/>
  <mergeCells count="197">
    <mergeCell ref="BA71:BE71"/>
    <mergeCell ref="BF71:BL71"/>
    <mergeCell ref="BF72:BL72"/>
    <mergeCell ref="AQ71:AU71"/>
    <mergeCell ref="AV71:AZ71"/>
    <mergeCell ref="I71:AA71"/>
    <mergeCell ref="BA73:BE73"/>
    <mergeCell ref="BA69:BE69"/>
    <mergeCell ref="BA72:BE72"/>
    <mergeCell ref="I69:AA69"/>
    <mergeCell ref="AB69:AP69"/>
    <mergeCell ref="AQ69:AU69"/>
    <mergeCell ref="AV69:AZ69"/>
    <mergeCell ref="BF73:BL73"/>
    <mergeCell ref="I73:AA73"/>
    <mergeCell ref="AB73:AP73"/>
    <mergeCell ref="AQ73:AU73"/>
    <mergeCell ref="AV73:AZ73"/>
    <mergeCell ref="AB71:AP71"/>
    <mergeCell ref="I72:AA72"/>
    <mergeCell ref="AB72:AP72"/>
    <mergeCell ref="AQ72:AU72"/>
    <mergeCell ref="AV72:AZ72"/>
    <mergeCell ref="I70:AA70"/>
    <mergeCell ref="AB70:AP70"/>
    <mergeCell ref="AQ70:AU70"/>
    <mergeCell ref="AV70:AZ70"/>
    <mergeCell ref="I68:AA68"/>
    <mergeCell ref="AB68:AP68"/>
    <mergeCell ref="AQ68:AU68"/>
    <mergeCell ref="AV68:AZ68"/>
    <mergeCell ref="BF69:BL69"/>
    <mergeCell ref="BA70:BE70"/>
    <mergeCell ref="BF70:BL70"/>
    <mergeCell ref="I65:AA65"/>
    <mergeCell ref="AB65:AP65"/>
    <mergeCell ref="AQ65:AU65"/>
    <mergeCell ref="AV65:AZ65"/>
    <mergeCell ref="BA68:BE68"/>
    <mergeCell ref="BF68:BL68"/>
    <mergeCell ref="BA67:BE67"/>
    <mergeCell ref="BF67:BL67"/>
    <mergeCell ref="I66:AA66"/>
    <mergeCell ref="AB66:AP66"/>
    <mergeCell ref="AQ66:AU66"/>
    <mergeCell ref="AV66:AZ66"/>
    <mergeCell ref="I67:AA67"/>
    <mergeCell ref="AB67:AP67"/>
    <mergeCell ref="AQ67:AU67"/>
    <mergeCell ref="AV67:AZ67"/>
    <mergeCell ref="BA65:BE65"/>
    <mergeCell ref="BF65:BL65"/>
    <mergeCell ref="BA66:BE66"/>
    <mergeCell ref="BF66:BL66"/>
    <mergeCell ref="I62:AA62"/>
    <mergeCell ref="AB62:AP62"/>
    <mergeCell ref="AQ62:AU62"/>
    <mergeCell ref="AV62:AZ62"/>
    <mergeCell ref="BA62:BE62"/>
    <mergeCell ref="BF62:BL62"/>
    <mergeCell ref="BA63:BE63"/>
    <mergeCell ref="BF63:BL63"/>
    <mergeCell ref="BA64:BE64"/>
    <mergeCell ref="BF64:BL64"/>
    <mergeCell ref="I63:AA63"/>
    <mergeCell ref="AB63:AP63"/>
    <mergeCell ref="I64:AA64"/>
    <mergeCell ref="AB64:AP64"/>
    <mergeCell ref="AQ64:AU64"/>
    <mergeCell ref="AV64:AZ64"/>
    <mergeCell ref="AQ63:AU63"/>
    <mergeCell ref="AV63:AZ63"/>
    <mergeCell ref="BA61:BE61"/>
    <mergeCell ref="BF61:BL61"/>
    <mergeCell ref="I60:AA60"/>
    <mergeCell ref="AB60:AP60"/>
    <mergeCell ref="I61:AA61"/>
    <mergeCell ref="AB61:AP61"/>
    <mergeCell ref="AQ61:AU61"/>
    <mergeCell ref="AV61:AZ61"/>
    <mergeCell ref="AQ60:AU60"/>
    <mergeCell ref="AV60:AZ60"/>
    <mergeCell ref="I58:AA58"/>
    <mergeCell ref="AB58:AP58"/>
    <mergeCell ref="AQ58:AU58"/>
    <mergeCell ref="AV58:AZ58"/>
    <mergeCell ref="BA60:BE60"/>
    <mergeCell ref="BF60:BL60"/>
    <mergeCell ref="I59:AA59"/>
    <mergeCell ref="AB59:AP59"/>
    <mergeCell ref="AQ59:AU59"/>
    <mergeCell ref="AV59:AZ59"/>
    <mergeCell ref="BA58:BE58"/>
    <mergeCell ref="BF58:BL58"/>
    <mergeCell ref="BA59:BE59"/>
    <mergeCell ref="BF59:BL59"/>
    <mergeCell ref="BA57:BE57"/>
    <mergeCell ref="BF57:BL57"/>
    <mergeCell ref="I56:AA56"/>
    <mergeCell ref="AB56:AP56"/>
    <mergeCell ref="I57:AA57"/>
    <mergeCell ref="AB57:AP57"/>
    <mergeCell ref="AQ57:AU57"/>
    <mergeCell ref="AV57:AZ57"/>
    <mergeCell ref="AQ56:AU56"/>
    <mergeCell ref="AV56:AZ56"/>
    <mergeCell ref="I54:AA54"/>
    <mergeCell ref="AB54:AP54"/>
    <mergeCell ref="AQ54:AU54"/>
    <mergeCell ref="AV54:AZ54"/>
    <mergeCell ref="BA56:BE56"/>
    <mergeCell ref="BF56:BL56"/>
    <mergeCell ref="I55:AA55"/>
    <mergeCell ref="AB55:AP55"/>
    <mergeCell ref="AQ55:AU55"/>
    <mergeCell ref="AV55:AZ55"/>
    <mergeCell ref="BA54:BE54"/>
    <mergeCell ref="BF54:BL54"/>
    <mergeCell ref="BA55:BE55"/>
    <mergeCell ref="BF55:BL55"/>
    <mergeCell ref="BA53:BE53"/>
    <mergeCell ref="BF53:BL53"/>
    <mergeCell ref="I52:AA52"/>
    <mergeCell ref="AB52:AP52"/>
    <mergeCell ref="I53:AA53"/>
    <mergeCell ref="AB53:AP53"/>
    <mergeCell ref="AQ53:AU53"/>
    <mergeCell ref="AV53:AZ53"/>
    <mergeCell ref="AQ52:AU52"/>
    <mergeCell ref="AV52:AZ52"/>
    <mergeCell ref="I50:AA50"/>
    <mergeCell ref="AB50:AP50"/>
    <mergeCell ref="AQ50:AU50"/>
    <mergeCell ref="AV50:AZ50"/>
    <mergeCell ref="BA52:BE52"/>
    <mergeCell ref="BF52:BL52"/>
    <mergeCell ref="I51:AA51"/>
    <mergeCell ref="AB51:AP51"/>
    <mergeCell ref="AQ51:AU51"/>
    <mergeCell ref="AV51:AZ51"/>
    <mergeCell ref="BA50:BE50"/>
    <mergeCell ref="BF50:BL50"/>
    <mergeCell ref="BA51:BE51"/>
    <mergeCell ref="BF51:BL51"/>
    <mergeCell ref="BA49:BE49"/>
    <mergeCell ref="BF49:BL49"/>
    <mergeCell ref="I48:AA48"/>
    <mergeCell ref="AB48:AP48"/>
    <mergeCell ref="I49:AA49"/>
    <mergeCell ref="AB49:AP49"/>
    <mergeCell ref="AQ49:AU49"/>
    <mergeCell ref="AV49:AZ49"/>
    <mergeCell ref="AQ48:AU48"/>
    <mergeCell ref="AV48:AZ48"/>
    <mergeCell ref="I46:AA46"/>
    <mergeCell ref="AB46:AP46"/>
    <mergeCell ref="AQ46:AU46"/>
    <mergeCell ref="AV46:AZ46"/>
    <mergeCell ref="BA48:BE48"/>
    <mergeCell ref="BF48:BL48"/>
    <mergeCell ref="I47:AA47"/>
    <mergeCell ref="AB47:AP47"/>
    <mergeCell ref="AQ47:AU47"/>
    <mergeCell ref="AV47:AZ47"/>
    <mergeCell ref="BA46:BE46"/>
    <mergeCell ref="BF46:BL46"/>
    <mergeCell ref="BA47:BE47"/>
    <mergeCell ref="BF47:BL47"/>
    <mergeCell ref="BF44:BL44"/>
    <mergeCell ref="BA43:BE43"/>
    <mergeCell ref="BF43:BL43"/>
    <mergeCell ref="C45:H45"/>
    <mergeCell ref="I45:AA45"/>
    <mergeCell ref="AB45:AP45"/>
    <mergeCell ref="AQ45:AU45"/>
    <mergeCell ref="AV45:AZ45"/>
    <mergeCell ref="BA45:BE45"/>
    <mergeCell ref="BF45:BL45"/>
    <mergeCell ref="C44:H44"/>
    <mergeCell ref="I44:AA44"/>
    <mergeCell ref="AB44:AP44"/>
    <mergeCell ref="AQ44:AU44"/>
    <mergeCell ref="AV44:AZ44"/>
    <mergeCell ref="BA44:BE44"/>
    <mergeCell ref="K33:AZ34"/>
    <mergeCell ref="K6:AH7"/>
    <mergeCell ref="A8:BL10"/>
    <mergeCell ref="K22:AE23"/>
    <mergeCell ref="AF22:AV23"/>
    <mergeCell ref="W18:Y18"/>
    <mergeCell ref="J16:BA17"/>
    <mergeCell ref="A39:BL41"/>
    <mergeCell ref="C43:H43"/>
    <mergeCell ref="I43:AA43"/>
    <mergeCell ref="AB43:AP43"/>
    <mergeCell ref="AQ43:AU43"/>
    <mergeCell ref="AV43:AZ43"/>
  </mergeCells>
  <phoneticPr fontId="1"/>
  <printOptions horizontalCentered="1"/>
  <pageMargins left="0.19685039370078741" right="0.19685039370078741" top="0.59055118110236227" bottom="0.39370078740157483" header="0.31496062992125984" footer="0.11811023622047245"/>
  <pageSetup paperSize="9" orientation="landscape" horizontalDpi="300" verticalDpi="300" r:id="rId1"/>
  <headerFooter alignWithMargins="0">
    <oddFooter>&amp;L&amp;"ＭＳ Ｐゴシック,斜体"Copyright ©2018 by Future Architect, Inc.&amp;C&amp;P&amp;R&amp;"ＭＳ Ｐゴシック,斜体"Confidential</oddFooter>
  </headerFooter>
  <rowBreaks count="1" manualBreakCount="1">
    <brk id="38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C12"/>
  <sheetViews>
    <sheetView showGridLines="0" zoomScaleNormal="10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3.5"/>
  <cols>
    <col min="1" max="1" width="36.625" style="112" customWidth="1"/>
    <col min="2" max="2" width="19.375" style="145" customWidth="1"/>
    <col min="3" max="3" width="39.125" style="112" customWidth="1"/>
    <col min="4" max="16384" width="9" style="113"/>
  </cols>
  <sheetData>
    <row r="1" spans="1:3" s="142" customFormat="1" ht="32.25" customHeight="1">
      <c r="A1" s="140" t="s">
        <v>75</v>
      </c>
      <c r="B1" s="140" t="s">
        <v>76</v>
      </c>
      <c r="C1" s="141" t="s">
        <v>77</v>
      </c>
    </row>
    <row r="2" spans="1:3" hidden="1">
      <c r="A2" s="143"/>
      <c r="B2" s="144" t="s">
        <v>78</v>
      </c>
      <c r="C2" s="143"/>
    </row>
    <row r="6" spans="1:3">
      <c r="B6" s="112"/>
    </row>
    <row r="7" spans="1:3">
      <c r="B7" s="112"/>
    </row>
    <row r="9" spans="1:3">
      <c r="B9" s="112"/>
    </row>
    <row r="10" spans="1:3">
      <c r="B10" s="112"/>
    </row>
    <row r="11" spans="1:3">
      <c r="B11" s="112"/>
    </row>
    <row r="12" spans="1:3">
      <c r="B12" s="112"/>
    </row>
  </sheetData>
  <phoneticPr fontId="27"/>
  <dataValidations count="1">
    <dataValidation type="list" showInputMessage="1" showErrorMessage="1" errorTitle="項目名称（論理名）に存在しない値です" error="グループ項目名には項目名称（論理名）に存在する値を設定してください" promptTitle="グループ項目名" prompt="一覧テーブルなど、グループとして扱われる項目に対して、その親となる項目の項目名称（論理名）を指定してください。" sqref="B1:B5 B8 B13:B1048576">
      <formula1>Item_Logical_Names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fitToHeight="0" orientation="portrait" horizontalDpi="4294967293" verticalDpi="300" r:id="rId1"/>
  <headerFooter>
    <oddHeader>&amp;C&amp;A</oddHeader>
    <oddFooter>&amp;L&amp;"ＭＳ Ｐゴシック,斜体"Copyright ©2018 by Future Architect, Inc.&amp;C&amp;P&amp;R&amp;"ＭＳ Ｐゴシック,斜体"Confidential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132"/>
  <sheetViews>
    <sheetView tabSelected="1" view="pageBreakPreview" zoomScaleNormal="100" zoomScaleSheetLayoutView="100" workbookViewId="0">
      <pane ySplit="1" topLeftCell="A114" activePane="bottomLeft" state="frozen"/>
      <selection pane="bottomLeft" activeCell="A120" sqref="A120:A132"/>
    </sheetView>
  </sheetViews>
  <sheetFormatPr defaultColWidth="9" defaultRowHeight="14.25"/>
  <cols>
    <col min="1" max="1" width="9.375" style="130" customWidth="1" collapsed="1"/>
    <col min="2" max="3" width="12.875" style="131" customWidth="1" collapsed="1"/>
    <col min="4" max="4" width="7.125" style="130" customWidth="1" collapsed="1"/>
    <col min="5" max="5" width="9" style="130" customWidth="1" collapsed="1"/>
    <col min="6" max="6" width="78" style="132" customWidth="1" collapsed="1"/>
    <col min="7" max="7" width="9" style="130" collapsed="1"/>
    <col min="8" max="8" width="9" style="131" collapsed="1"/>
    <col min="9" max="9" width="44.625" style="125" customWidth="1" collapsed="1"/>
    <col min="10" max="10" width="5.125" style="130" customWidth="1" collapsed="1"/>
    <col min="11" max="11" width="12.625" style="131" customWidth="1" collapsed="1"/>
    <col min="12" max="12" width="13.875" style="131" customWidth="1" collapsed="1"/>
    <col min="13" max="13" width="6.375" style="130" customWidth="1" collapsed="1"/>
    <col min="14" max="14" width="10.375" style="130" customWidth="1" collapsed="1"/>
    <col min="15" max="15" width="12.75" style="130" bestFit="1" customWidth="1" collapsed="1"/>
    <col min="16" max="16" width="10" style="130" bestFit="1" customWidth="1" collapsed="1"/>
    <col min="17" max="16384" width="9" style="125" collapsed="1"/>
  </cols>
  <sheetData>
    <row r="1" spans="1:17">
      <c r="A1" s="121" t="s">
        <v>201</v>
      </c>
      <c r="B1" s="121" t="s">
        <v>37</v>
      </c>
      <c r="C1" s="121" t="s">
        <v>202</v>
      </c>
      <c r="D1" s="121" t="s">
        <v>38</v>
      </c>
      <c r="E1" s="121" t="s">
        <v>39</v>
      </c>
      <c r="F1" s="122" t="s">
        <v>40</v>
      </c>
      <c r="G1" s="121" t="s">
        <v>41</v>
      </c>
      <c r="H1" s="121" t="s">
        <v>42</v>
      </c>
      <c r="I1" s="121" t="s">
        <v>43</v>
      </c>
      <c r="J1" s="121" t="s">
        <v>44</v>
      </c>
      <c r="K1" s="121" t="s">
        <v>45</v>
      </c>
      <c r="L1" s="121" t="s">
        <v>46</v>
      </c>
      <c r="M1" s="121" t="s">
        <v>203</v>
      </c>
      <c r="N1" s="123" t="s">
        <v>47</v>
      </c>
      <c r="O1" s="123" t="s">
        <v>48</v>
      </c>
      <c r="P1" s="123" t="s">
        <v>49</v>
      </c>
      <c r="Q1" s="124" t="s">
        <v>204</v>
      </c>
    </row>
    <row r="2" spans="1:17" ht="28.5">
      <c r="A2" s="126">
        <v>2</v>
      </c>
      <c r="B2" s="127" t="s">
        <v>56</v>
      </c>
      <c r="C2" s="127" t="s">
        <v>70</v>
      </c>
      <c r="D2" s="126" t="s">
        <v>50</v>
      </c>
      <c r="E2" s="126" t="s">
        <v>52</v>
      </c>
      <c r="F2" s="128" t="s">
        <v>1111</v>
      </c>
      <c r="G2" s="127"/>
      <c r="H2" s="127" t="s">
        <v>51</v>
      </c>
      <c r="I2" s="129" t="s">
        <v>53</v>
      </c>
      <c r="J2" s="126"/>
      <c r="K2" s="127" t="s">
        <v>71</v>
      </c>
      <c r="L2" s="127" t="s">
        <v>54</v>
      </c>
      <c r="M2" s="126" t="str">
        <f t="shared" ref="M2" si="0">HYPERLINK(Q2,"□")</f>
        <v>□</v>
      </c>
      <c r="N2" s="126"/>
      <c r="O2" s="126" t="s">
        <v>51</v>
      </c>
      <c r="P2" s="126" t="s">
        <v>51</v>
      </c>
      <c r="Q2" s="127" t="s">
        <v>207</v>
      </c>
    </row>
    <row r="3" spans="1:17" ht="42.75">
      <c r="A3" s="126">
        <v>4</v>
      </c>
      <c r="B3" s="127" t="s">
        <v>56</v>
      </c>
      <c r="C3" s="127" t="s">
        <v>70</v>
      </c>
      <c r="D3" s="126" t="s">
        <v>50</v>
      </c>
      <c r="E3" s="126" t="s">
        <v>52</v>
      </c>
      <c r="F3" s="128" t="s">
        <v>206</v>
      </c>
      <c r="G3" s="127"/>
      <c r="H3" s="127" t="s">
        <v>51</v>
      </c>
      <c r="I3" s="129" t="s">
        <v>53</v>
      </c>
      <c r="J3" s="126"/>
      <c r="K3" s="127" t="s">
        <v>71</v>
      </c>
      <c r="L3" s="127" t="s">
        <v>54</v>
      </c>
      <c r="M3" s="126" t="str">
        <f t="shared" ref="M3:M65" si="1">HYPERLINK(Q3,"□")</f>
        <v>□</v>
      </c>
      <c r="N3" s="126"/>
      <c r="O3" s="126" t="s">
        <v>51</v>
      </c>
      <c r="P3" s="126" t="s">
        <v>51</v>
      </c>
      <c r="Q3" s="127" t="s">
        <v>207</v>
      </c>
    </row>
    <row r="4" spans="1:17" ht="42.75">
      <c r="A4" s="126">
        <v>5</v>
      </c>
      <c r="B4" s="127" t="s">
        <v>56</v>
      </c>
      <c r="C4" s="127" t="s">
        <v>68</v>
      </c>
      <c r="D4" s="126" t="s">
        <v>50</v>
      </c>
      <c r="E4" s="126" t="s">
        <v>52</v>
      </c>
      <c r="F4" s="128" t="s">
        <v>820</v>
      </c>
      <c r="G4" s="127"/>
      <c r="H4" s="127" t="s">
        <v>51</v>
      </c>
      <c r="I4" s="129" t="s">
        <v>53</v>
      </c>
      <c r="J4" s="126"/>
      <c r="K4" s="127" t="s">
        <v>71</v>
      </c>
      <c r="L4" s="127" t="s">
        <v>106</v>
      </c>
      <c r="M4" s="126" t="str">
        <f t="shared" si="1"/>
        <v>□</v>
      </c>
      <c r="N4" s="126"/>
      <c r="O4" s="126" t="s">
        <v>51</v>
      </c>
      <c r="P4" s="126" t="s">
        <v>51</v>
      </c>
      <c r="Q4" s="127" t="s">
        <v>209</v>
      </c>
    </row>
    <row r="5" spans="1:17" ht="42.75">
      <c r="A5" s="126">
        <v>3</v>
      </c>
      <c r="B5" s="127" t="s">
        <v>56</v>
      </c>
      <c r="C5" s="127" t="s">
        <v>69</v>
      </c>
      <c r="D5" s="126" t="s">
        <v>50</v>
      </c>
      <c r="E5" s="126" t="s">
        <v>52</v>
      </c>
      <c r="F5" s="128" t="s">
        <v>210</v>
      </c>
      <c r="G5" s="127"/>
      <c r="H5" s="127" t="s">
        <v>51</v>
      </c>
      <c r="I5" s="129" t="s">
        <v>53</v>
      </c>
      <c r="J5" s="126"/>
      <c r="K5" s="127" t="s">
        <v>71</v>
      </c>
      <c r="L5" s="127" t="s">
        <v>106</v>
      </c>
      <c r="M5" s="126" t="str">
        <f t="shared" si="1"/>
        <v>□</v>
      </c>
      <c r="N5" s="126"/>
      <c r="O5" s="126" t="s">
        <v>51</v>
      </c>
      <c r="P5" s="126" t="s">
        <v>51</v>
      </c>
      <c r="Q5" s="127" t="s">
        <v>211</v>
      </c>
    </row>
    <row r="6" spans="1:17" ht="42.75">
      <c r="A6" s="126">
        <v>6</v>
      </c>
      <c r="B6" s="127" t="s">
        <v>56</v>
      </c>
      <c r="C6" s="127" t="s">
        <v>72</v>
      </c>
      <c r="D6" s="126" t="s">
        <v>50</v>
      </c>
      <c r="E6" s="126" t="s">
        <v>52</v>
      </c>
      <c r="F6" s="128" t="s">
        <v>821</v>
      </c>
      <c r="G6" s="127"/>
      <c r="H6" s="127" t="s">
        <v>51</v>
      </c>
      <c r="I6" s="129" t="s">
        <v>53</v>
      </c>
      <c r="J6" s="126"/>
      <c r="K6" s="127" t="s">
        <v>71</v>
      </c>
      <c r="L6" s="127" t="s">
        <v>106</v>
      </c>
      <c r="M6" s="126" t="str">
        <f t="shared" si="1"/>
        <v>□</v>
      </c>
      <c r="N6" s="126"/>
      <c r="O6" s="126" t="s">
        <v>51</v>
      </c>
      <c r="P6" s="126" t="s">
        <v>51</v>
      </c>
      <c r="Q6" s="127" t="s">
        <v>213</v>
      </c>
    </row>
    <row r="7" spans="1:17" ht="42.75">
      <c r="A7" s="126">
        <v>7</v>
      </c>
      <c r="B7" s="127" t="s">
        <v>56</v>
      </c>
      <c r="C7" s="127" t="s">
        <v>73</v>
      </c>
      <c r="D7" s="126" t="s">
        <v>50</v>
      </c>
      <c r="E7" s="126" t="s">
        <v>52</v>
      </c>
      <c r="F7" s="128" t="s">
        <v>214</v>
      </c>
      <c r="G7" s="127"/>
      <c r="H7" s="127" t="s">
        <v>51</v>
      </c>
      <c r="I7" s="129" t="s">
        <v>53</v>
      </c>
      <c r="J7" s="126"/>
      <c r="K7" s="127" t="s">
        <v>71</v>
      </c>
      <c r="L7" s="127" t="s">
        <v>106</v>
      </c>
      <c r="M7" s="126" t="str">
        <f t="shared" si="1"/>
        <v>□</v>
      </c>
      <c r="N7" s="126"/>
      <c r="O7" s="126" t="s">
        <v>51</v>
      </c>
      <c r="P7" s="126" t="s">
        <v>51</v>
      </c>
      <c r="Q7" s="127" t="s">
        <v>215</v>
      </c>
    </row>
    <row r="8" spans="1:17" ht="42.75">
      <c r="A8" s="126">
        <v>8</v>
      </c>
      <c r="B8" s="127" t="s">
        <v>56</v>
      </c>
      <c r="C8" s="127" t="s">
        <v>74</v>
      </c>
      <c r="D8" s="126" t="s">
        <v>50</v>
      </c>
      <c r="E8" s="126" t="s">
        <v>52</v>
      </c>
      <c r="F8" s="128" t="s">
        <v>216</v>
      </c>
      <c r="G8" s="127"/>
      <c r="H8" s="127" t="s">
        <v>51</v>
      </c>
      <c r="I8" s="129" t="s">
        <v>53</v>
      </c>
      <c r="J8" s="126"/>
      <c r="K8" s="127" t="s">
        <v>71</v>
      </c>
      <c r="L8" s="127" t="s">
        <v>106</v>
      </c>
      <c r="M8" s="126" t="str">
        <f t="shared" si="1"/>
        <v>□</v>
      </c>
      <c r="N8" s="126"/>
      <c r="O8" s="126" t="s">
        <v>51</v>
      </c>
      <c r="P8" s="126" t="s">
        <v>51</v>
      </c>
      <c r="Q8" s="127" t="s">
        <v>217</v>
      </c>
    </row>
    <row r="9" spans="1:17" ht="57">
      <c r="A9" s="126">
        <v>9</v>
      </c>
      <c r="B9" s="127" t="s">
        <v>56</v>
      </c>
      <c r="C9" s="127" t="s">
        <v>94</v>
      </c>
      <c r="D9" s="126" t="s">
        <v>50</v>
      </c>
      <c r="E9" s="126" t="s">
        <v>52</v>
      </c>
      <c r="F9" s="128" t="s">
        <v>218</v>
      </c>
      <c r="G9" s="127"/>
      <c r="H9" s="127" t="s">
        <v>51</v>
      </c>
      <c r="I9" s="129" t="s">
        <v>53</v>
      </c>
      <c r="J9" s="126"/>
      <c r="K9" s="127" t="s">
        <v>71</v>
      </c>
      <c r="L9" s="127" t="s">
        <v>106</v>
      </c>
      <c r="M9" s="126" t="str">
        <f t="shared" si="1"/>
        <v>□</v>
      </c>
      <c r="N9" s="126"/>
      <c r="O9" s="126" t="s">
        <v>51</v>
      </c>
      <c r="P9" s="126" t="s">
        <v>51</v>
      </c>
      <c r="Q9" s="127" t="s">
        <v>219</v>
      </c>
    </row>
    <row r="10" spans="1:17" ht="57">
      <c r="A10" s="126">
        <v>10</v>
      </c>
      <c r="B10" s="127" t="s">
        <v>56</v>
      </c>
      <c r="C10" s="127" t="s">
        <v>95</v>
      </c>
      <c r="D10" s="126" t="s">
        <v>50</v>
      </c>
      <c r="E10" s="126" t="s">
        <v>52</v>
      </c>
      <c r="F10" s="128" t="s">
        <v>220</v>
      </c>
      <c r="G10" s="127"/>
      <c r="H10" s="127" t="s">
        <v>51</v>
      </c>
      <c r="I10" s="129" t="s">
        <v>53</v>
      </c>
      <c r="J10" s="126"/>
      <c r="K10" s="127" t="s">
        <v>71</v>
      </c>
      <c r="L10" s="127" t="s">
        <v>106</v>
      </c>
      <c r="M10" s="126" t="str">
        <f t="shared" si="1"/>
        <v>□</v>
      </c>
      <c r="N10" s="126"/>
      <c r="O10" s="126" t="s">
        <v>51</v>
      </c>
      <c r="P10" s="126" t="s">
        <v>51</v>
      </c>
      <c r="Q10" s="127" t="s">
        <v>221</v>
      </c>
    </row>
    <row r="11" spans="1:17" ht="57">
      <c r="A11" s="126">
        <v>11</v>
      </c>
      <c r="B11" s="127" t="s">
        <v>56</v>
      </c>
      <c r="C11" s="127" t="s">
        <v>96</v>
      </c>
      <c r="D11" s="126" t="s">
        <v>50</v>
      </c>
      <c r="E11" s="126" t="s">
        <v>52</v>
      </c>
      <c r="F11" s="128" t="s">
        <v>222</v>
      </c>
      <c r="G11" s="127"/>
      <c r="H11" s="127" t="s">
        <v>51</v>
      </c>
      <c r="I11" s="129" t="s">
        <v>53</v>
      </c>
      <c r="J11" s="126"/>
      <c r="K11" s="127" t="s">
        <v>71</v>
      </c>
      <c r="L11" s="127" t="s">
        <v>106</v>
      </c>
      <c r="M11" s="126" t="str">
        <f t="shared" si="1"/>
        <v>□</v>
      </c>
      <c r="N11" s="126"/>
      <c r="O11" s="126" t="s">
        <v>51</v>
      </c>
      <c r="P11" s="126" t="s">
        <v>51</v>
      </c>
      <c r="Q11" s="127" t="s">
        <v>223</v>
      </c>
    </row>
    <row r="12" spans="1:17" ht="57">
      <c r="A12" s="126">
        <v>12</v>
      </c>
      <c r="B12" s="127" t="s">
        <v>56</v>
      </c>
      <c r="C12" s="127" t="s">
        <v>97</v>
      </c>
      <c r="D12" s="126" t="s">
        <v>50</v>
      </c>
      <c r="E12" s="126" t="s">
        <v>52</v>
      </c>
      <c r="F12" s="128" t="s">
        <v>224</v>
      </c>
      <c r="G12" s="127"/>
      <c r="H12" s="127" t="s">
        <v>51</v>
      </c>
      <c r="I12" s="129" t="s">
        <v>53</v>
      </c>
      <c r="J12" s="126"/>
      <c r="K12" s="127" t="s">
        <v>71</v>
      </c>
      <c r="L12" s="127" t="s">
        <v>106</v>
      </c>
      <c r="M12" s="126" t="str">
        <f t="shared" si="1"/>
        <v>□</v>
      </c>
      <c r="N12" s="126"/>
      <c r="O12" s="126" t="s">
        <v>51</v>
      </c>
      <c r="P12" s="126" t="s">
        <v>51</v>
      </c>
      <c r="Q12" s="127" t="s">
        <v>225</v>
      </c>
    </row>
    <row r="13" spans="1:17" ht="42.75">
      <c r="A13" s="126">
        <v>13</v>
      </c>
      <c r="B13" s="127" t="s">
        <v>56</v>
      </c>
      <c r="C13" s="127" t="s">
        <v>98</v>
      </c>
      <c r="D13" s="126" t="s">
        <v>50</v>
      </c>
      <c r="E13" s="126" t="s">
        <v>52</v>
      </c>
      <c r="F13" s="128" t="s">
        <v>226</v>
      </c>
      <c r="G13" s="127"/>
      <c r="H13" s="127" t="s">
        <v>51</v>
      </c>
      <c r="I13" s="129" t="s">
        <v>53</v>
      </c>
      <c r="J13" s="126"/>
      <c r="K13" s="127" t="s">
        <v>71</v>
      </c>
      <c r="L13" s="127" t="s">
        <v>106</v>
      </c>
      <c r="M13" s="126" t="str">
        <f t="shared" si="1"/>
        <v>□</v>
      </c>
      <c r="N13" s="126"/>
      <c r="O13" s="126" t="s">
        <v>51</v>
      </c>
      <c r="P13" s="126" t="s">
        <v>51</v>
      </c>
      <c r="Q13" s="127" t="s">
        <v>227</v>
      </c>
    </row>
    <row r="14" spans="1:17" ht="42.75">
      <c r="A14" s="126">
        <v>14</v>
      </c>
      <c r="B14" s="127" t="s">
        <v>56</v>
      </c>
      <c r="C14" s="127" t="s">
        <v>99</v>
      </c>
      <c r="D14" s="126" t="s">
        <v>50</v>
      </c>
      <c r="E14" s="126" t="s">
        <v>52</v>
      </c>
      <c r="F14" s="128" t="s">
        <v>228</v>
      </c>
      <c r="G14" s="127"/>
      <c r="H14" s="127" t="s">
        <v>51</v>
      </c>
      <c r="I14" s="129" t="s">
        <v>53</v>
      </c>
      <c r="J14" s="126"/>
      <c r="K14" s="127" t="s">
        <v>71</v>
      </c>
      <c r="L14" s="127" t="s">
        <v>106</v>
      </c>
      <c r="M14" s="126" t="str">
        <f t="shared" si="1"/>
        <v>□</v>
      </c>
      <c r="N14" s="126"/>
      <c r="O14" s="126" t="s">
        <v>51</v>
      </c>
      <c r="P14" s="126" t="s">
        <v>51</v>
      </c>
      <c r="Q14" s="127" t="s">
        <v>229</v>
      </c>
    </row>
    <row r="15" spans="1:17" ht="42.75">
      <c r="A15" s="126">
        <v>15</v>
      </c>
      <c r="B15" s="127" t="s">
        <v>56</v>
      </c>
      <c r="C15" s="127" t="s">
        <v>100</v>
      </c>
      <c r="D15" s="126" t="s">
        <v>50</v>
      </c>
      <c r="E15" s="126" t="s">
        <v>52</v>
      </c>
      <c r="F15" s="128" t="s">
        <v>230</v>
      </c>
      <c r="G15" s="127"/>
      <c r="H15" s="127" t="s">
        <v>51</v>
      </c>
      <c r="I15" s="129" t="s">
        <v>53</v>
      </c>
      <c r="J15" s="126"/>
      <c r="K15" s="127" t="s">
        <v>71</v>
      </c>
      <c r="L15" s="127" t="s">
        <v>106</v>
      </c>
      <c r="M15" s="126" t="str">
        <f t="shared" si="1"/>
        <v>□</v>
      </c>
      <c r="N15" s="126"/>
      <c r="O15" s="126" t="s">
        <v>51</v>
      </c>
      <c r="P15" s="126" t="s">
        <v>51</v>
      </c>
      <c r="Q15" s="127" t="s">
        <v>231</v>
      </c>
    </row>
    <row r="16" spans="1:17" ht="42.75">
      <c r="A16" s="126">
        <v>16</v>
      </c>
      <c r="B16" s="127" t="s">
        <v>56</v>
      </c>
      <c r="C16" s="127" t="s">
        <v>101</v>
      </c>
      <c r="D16" s="126" t="s">
        <v>50</v>
      </c>
      <c r="E16" s="126" t="s">
        <v>52</v>
      </c>
      <c r="F16" s="128" t="s">
        <v>232</v>
      </c>
      <c r="G16" s="127"/>
      <c r="H16" s="127" t="s">
        <v>51</v>
      </c>
      <c r="I16" s="129" t="s">
        <v>53</v>
      </c>
      <c r="J16" s="126"/>
      <c r="K16" s="127" t="s">
        <v>71</v>
      </c>
      <c r="L16" s="127" t="s">
        <v>106</v>
      </c>
      <c r="M16" s="126" t="str">
        <f t="shared" si="1"/>
        <v>□</v>
      </c>
      <c r="N16" s="126"/>
      <c r="O16" s="126" t="s">
        <v>51</v>
      </c>
      <c r="P16" s="126" t="s">
        <v>51</v>
      </c>
      <c r="Q16" s="127" t="s">
        <v>233</v>
      </c>
    </row>
    <row r="17" spans="1:17" ht="42.75">
      <c r="A17" s="126">
        <v>17</v>
      </c>
      <c r="B17" s="127" t="s">
        <v>56</v>
      </c>
      <c r="C17" s="127" t="s">
        <v>102</v>
      </c>
      <c r="D17" s="126" t="s">
        <v>50</v>
      </c>
      <c r="E17" s="126" t="s">
        <v>52</v>
      </c>
      <c r="F17" s="128" t="s">
        <v>234</v>
      </c>
      <c r="G17" s="127"/>
      <c r="H17" s="127" t="s">
        <v>51</v>
      </c>
      <c r="I17" s="129" t="s">
        <v>53</v>
      </c>
      <c r="J17" s="126"/>
      <c r="K17" s="127" t="s">
        <v>71</v>
      </c>
      <c r="L17" s="127" t="s">
        <v>106</v>
      </c>
      <c r="M17" s="126" t="str">
        <f t="shared" si="1"/>
        <v>□</v>
      </c>
      <c r="N17" s="126"/>
      <c r="O17" s="126" t="s">
        <v>51</v>
      </c>
      <c r="P17" s="126" t="s">
        <v>51</v>
      </c>
      <c r="Q17" s="127" t="s">
        <v>235</v>
      </c>
    </row>
    <row r="18" spans="1:17" ht="42.75">
      <c r="A18" s="126">
        <v>18</v>
      </c>
      <c r="B18" s="127" t="s">
        <v>56</v>
      </c>
      <c r="C18" s="127" t="s">
        <v>103</v>
      </c>
      <c r="D18" s="126" t="s">
        <v>50</v>
      </c>
      <c r="E18" s="126" t="s">
        <v>52</v>
      </c>
      <c r="F18" s="128" t="s">
        <v>236</v>
      </c>
      <c r="G18" s="127"/>
      <c r="H18" s="127" t="s">
        <v>51</v>
      </c>
      <c r="I18" s="129" t="s">
        <v>53</v>
      </c>
      <c r="J18" s="126"/>
      <c r="K18" s="127" t="s">
        <v>71</v>
      </c>
      <c r="L18" s="127" t="s">
        <v>106</v>
      </c>
      <c r="M18" s="126" t="str">
        <f t="shared" si="1"/>
        <v>□</v>
      </c>
      <c r="N18" s="126"/>
      <c r="O18" s="126" t="s">
        <v>51</v>
      </c>
      <c r="P18" s="126" t="s">
        <v>51</v>
      </c>
      <c r="Q18" s="127" t="s">
        <v>237</v>
      </c>
    </row>
    <row r="19" spans="1:17" ht="57">
      <c r="A19" s="126">
        <v>19</v>
      </c>
      <c r="B19" s="127" t="s">
        <v>56</v>
      </c>
      <c r="C19" s="127" t="s">
        <v>104</v>
      </c>
      <c r="D19" s="126" t="s">
        <v>50</v>
      </c>
      <c r="E19" s="126" t="s">
        <v>52</v>
      </c>
      <c r="F19" s="128" t="s">
        <v>238</v>
      </c>
      <c r="G19" s="127"/>
      <c r="H19" s="127" t="s">
        <v>51</v>
      </c>
      <c r="I19" s="129" t="s">
        <v>53</v>
      </c>
      <c r="J19" s="126"/>
      <c r="K19" s="127" t="s">
        <v>71</v>
      </c>
      <c r="L19" s="127" t="s">
        <v>106</v>
      </c>
      <c r="M19" s="126" t="str">
        <f t="shared" si="1"/>
        <v>□</v>
      </c>
      <c r="N19" s="126"/>
      <c r="O19" s="126" t="s">
        <v>51</v>
      </c>
      <c r="P19" s="126" t="s">
        <v>51</v>
      </c>
      <c r="Q19" s="127" t="s">
        <v>239</v>
      </c>
    </row>
    <row r="20" spans="1:17" ht="57">
      <c r="A20" s="126">
        <v>20</v>
      </c>
      <c r="B20" s="127" t="s">
        <v>56</v>
      </c>
      <c r="C20" s="127" t="s">
        <v>105</v>
      </c>
      <c r="D20" s="126" t="s">
        <v>50</v>
      </c>
      <c r="E20" s="126" t="s">
        <v>52</v>
      </c>
      <c r="F20" s="128" t="s">
        <v>240</v>
      </c>
      <c r="G20" s="127"/>
      <c r="H20" s="127" t="s">
        <v>51</v>
      </c>
      <c r="I20" s="129" t="s">
        <v>53</v>
      </c>
      <c r="J20" s="126"/>
      <c r="K20" s="127" t="s">
        <v>71</v>
      </c>
      <c r="L20" s="127" t="s">
        <v>106</v>
      </c>
      <c r="M20" s="126" t="str">
        <f t="shared" si="1"/>
        <v>□</v>
      </c>
      <c r="N20" s="126"/>
      <c r="O20" s="126" t="s">
        <v>51</v>
      </c>
      <c r="P20" s="126" t="s">
        <v>51</v>
      </c>
      <c r="Q20" s="127" t="s">
        <v>241</v>
      </c>
    </row>
    <row r="21" spans="1:17" ht="57">
      <c r="A21" s="126">
        <v>21</v>
      </c>
      <c r="B21" s="127" t="s">
        <v>56</v>
      </c>
      <c r="C21" s="127" t="s">
        <v>107</v>
      </c>
      <c r="D21" s="126" t="s">
        <v>50</v>
      </c>
      <c r="E21" s="126" t="s">
        <v>52</v>
      </c>
      <c r="F21" s="128" t="s">
        <v>242</v>
      </c>
      <c r="G21" s="127"/>
      <c r="H21" s="127" t="s">
        <v>51</v>
      </c>
      <c r="I21" s="129" t="s">
        <v>53</v>
      </c>
      <c r="J21" s="126"/>
      <c r="K21" s="127" t="s">
        <v>71</v>
      </c>
      <c r="L21" s="127" t="s">
        <v>106</v>
      </c>
      <c r="M21" s="126" t="str">
        <f t="shared" si="1"/>
        <v>□</v>
      </c>
      <c r="N21" s="126"/>
      <c r="O21" s="126" t="s">
        <v>51</v>
      </c>
      <c r="P21" s="126" t="s">
        <v>51</v>
      </c>
      <c r="Q21" s="127" t="s">
        <v>243</v>
      </c>
    </row>
    <row r="22" spans="1:17" ht="57">
      <c r="A22" s="126">
        <v>22</v>
      </c>
      <c r="B22" s="127" t="s">
        <v>56</v>
      </c>
      <c r="C22" s="127" t="s">
        <v>108</v>
      </c>
      <c r="D22" s="126" t="s">
        <v>50</v>
      </c>
      <c r="E22" s="126" t="s">
        <v>52</v>
      </c>
      <c r="F22" s="128" t="s">
        <v>244</v>
      </c>
      <c r="G22" s="127"/>
      <c r="H22" s="127" t="s">
        <v>51</v>
      </c>
      <c r="I22" s="129" t="s">
        <v>53</v>
      </c>
      <c r="J22" s="126"/>
      <c r="K22" s="127" t="s">
        <v>71</v>
      </c>
      <c r="L22" s="127" t="s">
        <v>106</v>
      </c>
      <c r="M22" s="126" t="str">
        <f t="shared" si="1"/>
        <v>□</v>
      </c>
      <c r="N22" s="126"/>
      <c r="O22" s="126" t="s">
        <v>51</v>
      </c>
      <c r="P22" s="126" t="s">
        <v>51</v>
      </c>
      <c r="Q22" s="127" t="s">
        <v>245</v>
      </c>
    </row>
    <row r="23" spans="1:17" ht="42.75">
      <c r="A23" s="126">
        <v>23</v>
      </c>
      <c r="B23" s="127" t="s">
        <v>56</v>
      </c>
      <c r="C23" s="127" t="s">
        <v>109</v>
      </c>
      <c r="D23" s="126" t="s">
        <v>50</v>
      </c>
      <c r="E23" s="126" t="s">
        <v>52</v>
      </c>
      <c r="F23" s="128" t="s">
        <v>246</v>
      </c>
      <c r="G23" s="127"/>
      <c r="H23" s="127" t="s">
        <v>51</v>
      </c>
      <c r="I23" s="129" t="s">
        <v>53</v>
      </c>
      <c r="J23" s="126"/>
      <c r="K23" s="127" t="s">
        <v>71</v>
      </c>
      <c r="L23" s="127" t="s">
        <v>106</v>
      </c>
      <c r="M23" s="126" t="str">
        <f t="shared" si="1"/>
        <v>□</v>
      </c>
      <c r="N23" s="126"/>
      <c r="O23" s="126" t="s">
        <v>51</v>
      </c>
      <c r="P23" s="126" t="s">
        <v>51</v>
      </c>
      <c r="Q23" s="127" t="s">
        <v>247</v>
      </c>
    </row>
    <row r="24" spans="1:17" ht="42.75">
      <c r="A24" s="126">
        <v>24</v>
      </c>
      <c r="B24" s="127" t="s">
        <v>56</v>
      </c>
      <c r="C24" s="127" t="s">
        <v>110</v>
      </c>
      <c r="D24" s="126" t="s">
        <v>50</v>
      </c>
      <c r="E24" s="126" t="s">
        <v>52</v>
      </c>
      <c r="F24" s="128" t="s">
        <v>248</v>
      </c>
      <c r="G24" s="127"/>
      <c r="H24" s="127" t="s">
        <v>51</v>
      </c>
      <c r="I24" s="129" t="s">
        <v>53</v>
      </c>
      <c r="J24" s="126"/>
      <c r="K24" s="127" t="s">
        <v>71</v>
      </c>
      <c r="L24" s="127" t="s">
        <v>106</v>
      </c>
      <c r="M24" s="126" t="str">
        <f t="shared" si="1"/>
        <v>□</v>
      </c>
      <c r="N24" s="126"/>
      <c r="O24" s="126" t="s">
        <v>51</v>
      </c>
      <c r="P24" s="126" t="s">
        <v>51</v>
      </c>
      <c r="Q24" s="127" t="s">
        <v>249</v>
      </c>
    </row>
    <row r="25" spans="1:17" ht="42.75">
      <c r="A25" s="126">
        <v>25</v>
      </c>
      <c r="B25" s="127" t="s">
        <v>56</v>
      </c>
      <c r="C25" s="127" t="s">
        <v>111</v>
      </c>
      <c r="D25" s="126" t="s">
        <v>50</v>
      </c>
      <c r="E25" s="126" t="s">
        <v>52</v>
      </c>
      <c r="F25" s="128" t="s">
        <v>250</v>
      </c>
      <c r="G25" s="127"/>
      <c r="H25" s="127" t="s">
        <v>51</v>
      </c>
      <c r="I25" s="129" t="s">
        <v>53</v>
      </c>
      <c r="J25" s="126"/>
      <c r="K25" s="127" t="s">
        <v>71</v>
      </c>
      <c r="L25" s="127" t="s">
        <v>106</v>
      </c>
      <c r="M25" s="126" t="str">
        <f t="shared" si="1"/>
        <v>□</v>
      </c>
      <c r="N25" s="126"/>
      <c r="O25" s="126" t="s">
        <v>51</v>
      </c>
      <c r="P25" s="126" t="s">
        <v>51</v>
      </c>
      <c r="Q25" s="127" t="s">
        <v>251</v>
      </c>
    </row>
    <row r="26" spans="1:17" ht="42.75">
      <c r="A26" s="126">
        <v>26</v>
      </c>
      <c r="B26" s="127" t="s">
        <v>56</v>
      </c>
      <c r="C26" s="127" t="s">
        <v>112</v>
      </c>
      <c r="D26" s="126" t="s">
        <v>50</v>
      </c>
      <c r="E26" s="126" t="s">
        <v>52</v>
      </c>
      <c r="F26" s="128" t="s">
        <v>252</v>
      </c>
      <c r="G26" s="127"/>
      <c r="H26" s="127" t="s">
        <v>51</v>
      </c>
      <c r="I26" s="129" t="s">
        <v>53</v>
      </c>
      <c r="J26" s="126"/>
      <c r="K26" s="127" t="s">
        <v>71</v>
      </c>
      <c r="L26" s="127" t="s">
        <v>106</v>
      </c>
      <c r="M26" s="126" t="str">
        <f t="shared" si="1"/>
        <v>□</v>
      </c>
      <c r="N26" s="126"/>
      <c r="O26" s="126" t="s">
        <v>51</v>
      </c>
      <c r="P26" s="126" t="s">
        <v>51</v>
      </c>
      <c r="Q26" s="127" t="s">
        <v>253</v>
      </c>
    </row>
    <row r="27" spans="1:17" ht="42.75">
      <c r="A27" s="126">
        <v>27</v>
      </c>
      <c r="B27" s="127" t="s">
        <v>56</v>
      </c>
      <c r="C27" s="127" t="s">
        <v>113</v>
      </c>
      <c r="D27" s="126" t="s">
        <v>50</v>
      </c>
      <c r="E27" s="126" t="s">
        <v>52</v>
      </c>
      <c r="F27" s="128" t="s">
        <v>254</v>
      </c>
      <c r="G27" s="127"/>
      <c r="H27" s="127" t="s">
        <v>51</v>
      </c>
      <c r="I27" s="129" t="s">
        <v>53</v>
      </c>
      <c r="J27" s="126"/>
      <c r="K27" s="127" t="s">
        <v>71</v>
      </c>
      <c r="L27" s="127" t="s">
        <v>106</v>
      </c>
      <c r="M27" s="126" t="str">
        <f t="shared" si="1"/>
        <v>□</v>
      </c>
      <c r="N27" s="126"/>
      <c r="O27" s="126" t="s">
        <v>51</v>
      </c>
      <c r="P27" s="126" t="s">
        <v>51</v>
      </c>
      <c r="Q27" s="127" t="s">
        <v>255</v>
      </c>
    </row>
    <row r="28" spans="1:17" ht="57">
      <c r="A28" s="126">
        <v>28</v>
      </c>
      <c r="B28" s="127" t="s">
        <v>56</v>
      </c>
      <c r="C28" s="127" t="s">
        <v>114</v>
      </c>
      <c r="D28" s="126" t="s">
        <v>50</v>
      </c>
      <c r="E28" s="126" t="s">
        <v>52</v>
      </c>
      <c r="F28" s="128" t="s">
        <v>256</v>
      </c>
      <c r="G28" s="127"/>
      <c r="H28" s="127" t="s">
        <v>51</v>
      </c>
      <c r="I28" s="129" t="s">
        <v>53</v>
      </c>
      <c r="J28" s="126"/>
      <c r="K28" s="127" t="s">
        <v>71</v>
      </c>
      <c r="L28" s="127" t="s">
        <v>106</v>
      </c>
      <c r="M28" s="126" t="str">
        <f t="shared" si="1"/>
        <v>□</v>
      </c>
      <c r="N28" s="126"/>
      <c r="O28" s="126" t="s">
        <v>51</v>
      </c>
      <c r="P28" s="126" t="s">
        <v>51</v>
      </c>
      <c r="Q28" s="127" t="s">
        <v>257</v>
      </c>
    </row>
    <row r="29" spans="1:17" ht="57">
      <c r="A29" s="126">
        <v>29</v>
      </c>
      <c r="B29" s="127" t="s">
        <v>56</v>
      </c>
      <c r="C29" s="127" t="s">
        <v>115</v>
      </c>
      <c r="D29" s="126" t="s">
        <v>50</v>
      </c>
      <c r="E29" s="126" t="s">
        <v>52</v>
      </c>
      <c r="F29" s="128" t="s">
        <v>258</v>
      </c>
      <c r="G29" s="127"/>
      <c r="H29" s="127" t="s">
        <v>51</v>
      </c>
      <c r="I29" s="129" t="s">
        <v>53</v>
      </c>
      <c r="J29" s="126"/>
      <c r="K29" s="127" t="s">
        <v>71</v>
      </c>
      <c r="L29" s="127" t="s">
        <v>106</v>
      </c>
      <c r="M29" s="126" t="str">
        <f t="shared" si="1"/>
        <v>□</v>
      </c>
      <c r="N29" s="126"/>
      <c r="O29" s="126" t="s">
        <v>51</v>
      </c>
      <c r="P29" s="126" t="s">
        <v>51</v>
      </c>
      <c r="Q29" s="127" t="s">
        <v>259</v>
      </c>
    </row>
    <row r="30" spans="1:17" ht="57">
      <c r="A30" s="126">
        <v>30</v>
      </c>
      <c r="B30" s="127" t="s">
        <v>56</v>
      </c>
      <c r="C30" s="127" t="s">
        <v>116</v>
      </c>
      <c r="D30" s="126" t="s">
        <v>50</v>
      </c>
      <c r="E30" s="126" t="s">
        <v>52</v>
      </c>
      <c r="F30" s="128" t="s">
        <v>260</v>
      </c>
      <c r="G30" s="127"/>
      <c r="H30" s="127" t="s">
        <v>51</v>
      </c>
      <c r="I30" s="129" t="s">
        <v>53</v>
      </c>
      <c r="J30" s="126"/>
      <c r="K30" s="127" t="s">
        <v>71</v>
      </c>
      <c r="L30" s="127" t="s">
        <v>106</v>
      </c>
      <c r="M30" s="126" t="str">
        <f t="shared" si="1"/>
        <v>□</v>
      </c>
      <c r="N30" s="126"/>
      <c r="O30" s="126" t="s">
        <v>51</v>
      </c>
      <c r="P30" s="126" t="s">
        <v>51</v>
      </c>
      <c r="Q30" s="127" t="s">
        <v>261</v>
      </c>
    </row>
    <row r="31" spans="1:17" ht="57">
      <c r="A31" s="126">
        <v>31</v>
      </c>
      <c r="B31" s="127" t="s">
        <v>56</v>
      </c>
      <c r="C31" s="127" t="s">
        <v>117</v>
      </c>
      <c r="D31" s="126" t="s">
        <v>50</v>
      </c>
      <c r="E31" s="126" t="s">
        <v>52</v>
      </c>
      <c r="F31" s="128" t="s">
        <v>262</v>
      </c>
      <c r="G31" s="127"/>
      <c r="H31" s="127" t="s">
        <v>51</v>
      </c>
      <c r="I31" s="129" t="s">
        <v>53</v>
      </c>
      <c r="J31" s="126"/>
      <c r="K31" s="127" t="s">
        <v>71</v>
      </c>
      <c r="L31" s="127" t="s">
        <v>106</v>
      </c>
      <c r="M31" s="126" t="str">
        <f t="shared" si="1"/>
        <v>□</v>
      </c>
      <c r="N31" s="126"/>
      <c r="O31" s="126" t="s">
        <v>51</v>
      </c>
      <c r="P31" s="126" t="s">
        <v>51</v>
      </c>
      <c r="Q31" s="127" t="s">
        <v>263</v>
      </c>
    </row>
    <row r="32" spans="1:17" s="150" customFormat="1" ht="42.75">
      <c r="A32" s="126">
        <v>32</v>
      </c>
      <c r="B32" s="127" t="s">
        <v>56</v>
      </c>
      <c r="C32" s="127" t="s">
        <v>118</v>
      </c>
      <c r="D32" s="126" t="s">
        <v>50</v>
      </c>
      <c r="E32" s="126" t="s">
        <v>52</v>
      </c>
      <c r="F32" s="128" t="s">
        <v>264</v>
      </c>
      <c r="G32" s="127"/>
      <c r="H32" s="127" t="s">
        <v>51</v>
      </c>
      <c r="I32" s="129" t="s">
        <v>53</v>
      </c>
      <c r="J32" s="126"/>
      <c r="K32" s="127" t="s">
        <v>71</v>
      </c>
      <c r="L32" s="127" t="s">
        <v>106</v>
      </c>
      <c r="M32" s="126" t="str">
        <f t="shared" si="1"/>
        <v>□</v>
      </c>
      <c r="N32" s="126"/>
      <c r="O32" s="126" t="s">
        <v>51</v>
      </c>
      <c r="P32" s="126" t="s">
        <v>51</v>
      </c>
      <c r="Q32" s="127" t="s">
        <v>265</v>
      </c>
    </row>
    <row r="33" spans="1:17" s="150" customFormat="1" ht="42.75">
      <c r="A33" s="126">
        <v>33</v>
      </c>
      <c r="B33" s="127" t="s">
        <v>56</v>
      </c>
      <c r="C33" s="127" t="s">
        <v>119</v>
      </c>
      <c r="D33" s="126" t="s">
        <v>50</v>
      </c>
      <c r="E33" s="126" t="s">
        <v>52</v>
      </c>
      <c r="F33" s="128" t="s">
        <v>266</v>
      </c>
      <c r="G33" s="127"/>
      <c r="H33" s="127" t="s">
        <v>51</v>
      </c>
      <c r="I33" s="129" t="s">
        <v>53</v>
      </c>
      <c r="J33" s="126"/>
      <c r="K33" s="127" t="s">
        <v>71</v>
      </c>
      <c r="L33" s="127" t="s">
        <v>106</v>
      </c>
      <c r="M33" s="126" t="str">
        <f t="shared" si="1"/>
        <v>□</v>
      </c>
      <c r="N33" s="126"/>
      <c r="O33" s="126" t="s">
        <v>51</v>
      </c>
      <c r="P33" s="126" t="s">
        <v>51</v>
      </c>
      <c r="Q33" s="127" t="s">
        <v>267</v>
      </c>
    </row>
    <row r="34" spans="1:17" s="150" customFormat="1" ht="57">
      <c r="A34" s="126">
        <v>34</v>
      </c>
      <c r="B34" s="127" t="s">
        <v>56</v>
      </c>
      <c r="C34" s="127" t="s">
        <v>120</v>
      </c>
      <c r="D34" s="126" t="s">
        <v>50</v>
      </c>
      <c r="E34" s="126" t="s">
        <v>52</v>
      </c>
      <c r="F34" s="128" t="s">
        <v>268</v>
      </c>
      <c r="G34" s="127"/>
      <c r="H34" s="127" t="s">
        <v>51</v>
      </c>
      <c r="I34" s="129" t="s">
        <v>53</v>
      </c>
      <c r="J34" s="126"/>
      <c r="K34" s="127" t="s">
        <v>71</v>
      </c>
      <c r="L34" s="127" t="s">
        <v>106</v>
      </c>
      <c r="M34" s="126" t="str">
        <f t="shared" si="1"/>
        <v>□</v>
      </c>
      <c r="N34" s="126"/>
      <c r="O34" s="126" t="s">
        <v>51</v>
      </c>
      <c r="P34" s="126" t="s">
        <v>51</v>
      </c>
      <c r="Q34" s="127" t="s">
        <v>269</v>
      </c>
    </row>
    <row r="35" spans="1:17" s="150" customFormat="1" ht="57">
      <c r="A35" s="126">
        <v>35</v>
      </c>
      <c r="B35" s="127" t="s">
        <v>56</v>
      </c>
      <c r="C35" s="127" t="s">
        <v>197</v>
      </c>
      <c r="D35" s="126" t="s">
        <v>50</v>
      </c>
      <c r="E35" s="126" t="s">
        <v>52</v>
      </c>
      <c r="F35" s="128" t="s">
        <v>270</v>
      </c>
      <c r="G35" s="127"/>
      <c r="H35" s="127" t="s">
        <v>51</v>
      </c>
      <c r="I35" s="129" t="s">
        <v>53</v>
      </c>
      <c r="J35" s="126"/>
      <c r="K35" s="127" t="s">
        <v>71</v>
      </c>
      <c r="L35" s="127" t="s">
        <v>106</v>
      </c>
      <c r="M35" s="126" t="str">
        <f t="shared" si="1"/>
        <v>□</v>
      </c>
      <c r="N35" s="126"/>
      <c r="O35" s="126" t="s">
        <v>51</v>
      </c>
      <c r="P35" s="126" t="s">
        <v>51</v>
      </c>
      <c r="Q35" s="127" t="s">
        <v>271</v>
      </c>
    </row>
    <row r="36" spans="1:17" s="150" customFormat="1" ht="57">
      <c r="A36" s="126">
        <v>36</v>
      </c>
      <c r="B36" s="127" t="s">
        <v>56</v>
      </c>
      <c r="C36" s="127" t="s">
        <v>272</v>
      </c>
      <c r="D36" s="126" t="s">
        <v>50</v>
      </c>
      <c r="E36" s="126" t="s">
        <v>52</v>
      </c>
      <c r="F36" s="128" t="s">
        <v>273</v>
      </c>
      <c r="G36" s="127"/>
      <c r="H36" s="127" t="s">
        <v>51</v>
      </c>
      <c r="I36" s="129" t="s">
        <v>53</v>
      </c>
      <c r="J36" s="126"/>
      <c r="K36" s="127" t="s">
        <v>71</v>
      </c>
      <c r="L36" s="127" t="s">
        <v>106</v>
      </c>
      <c r="M36" s="126" t="str">
        <f t="shared" si="1"/>
        <v>□</v>
      </c>
      <c r="N36" s="126"/>
      <c r="O36" s="126" t="s">
        <v>51</v>
      </c>
      <c r="P36" s="126" t="s">
        <v>51</v>
      </c>
      <c r="Q36" s="127" t="s">
        <v>274</v>
      </c>
    </row>
    <row r="37" spans="1:17" s="150" customFormat="1" ht="57">
      <c r="A37" s="126">
        <v>37</v>
      </c>
      <c r="B37" s="127" t="s">
        <v>56</v>
      </c>
      <c r="C37" s="127" t="s">
        <v>275</v>
      </c>
      <c r="D37" s="126" t="s">
        <v>50</v>
      </c>
      <c r="E37" s="126" t="s">
        <v>52</v>
      </c>
      <c r="F37" s="128" t="s">
        <v>276</v>
      </c>
      <c r="G37" s="127"/>
      <c r="H37" s="127" t="s">
        <v>51</v>
      </c>
      <c r="I37" s="129" t="s">
        <v>53</v>
      </c>
      <c r="J37" s="126"/>
      <c r="K37" s="127" t="s">
        <v>71</v>
      </c>
      <c r="L37" s="127" t="s">
        <v>106</v>
      </c>
      <c r="M37" s="126" t="str">
        <f t="shared" si="1"/>
        <v>□</v>
      </c>
      <c r="N37" s="126"/>
      <c r="O37" s="126" t="s">
        <v>51</v>
      </c>
      <c r="P37" s="126" t="s">
        <v>51</v>
      </c>
      <c r="Q37" s="127" t="s">
        <v>277</v>
      </c>
    </row>
    <row r="38" spans="1:17" s="150" customFormat="1" ht="42.75">
      <c r="A38" s="126">
        <v>38</v>
      </c>
      <c r="B38" s="127" t="s">
        <v>56</v>
      </c>
      <c r="C38" s="127" t="s">
        <v>278</v>
      </c>
      <c r="D38" s="126" t="s">
        <v>50</v>
      </c>
      <c r="E38" s="126" t="s">
        <v>52</v>
      </c>
      <c r="F38" s="128" t="s">
        <v>279</v>
      </c>
      <c r="G38" s="127"/>
      <c r="H38" s="127" t="s">
        <v>51</v>
      </c>
      <c r="I38" s="129" t="s">
        <v>53</v>
      </c>
      <c r="J38" s="126"/>
      <c r="K38" s="127" t="s">
        <v>71</v>
      </c>
      <c r="L38" s="127" t="s">
        <v>106</v>
      </c>
      <c r="M38" s="126" t="str">
        <f t="shared" si="1"/>
        <v>□</v>
      </c>
      <c r="N38" s="126"/>
      <c r="O38" s="126" t="s">
        <v>51</v>
      </c>
      <c r="P38" s="126" t="s">
        <v>51</v>
      </c>
      <c r="Q38" s="127" t="s">
        <v>280</v>
      </c>
    </row>
    <row r="39" spans="1:17" s="150" customFormat="1" ht="42.75">
      <c r="A39" s="126">
        <v>39</v>
      </c>
      <c r="B39" s="127" t="s">
        <v>56</v>
      </c>
      <c r="C39" s="127" t="s">
        <v>281</v>
      </c>
      <c r="D39" s="126" t="s">
        <v>50</v>
      </c>
      <c r="E39" s="126" t="s">
        <v>52</v>
      </c>
      <c r="F39" s="128" t="s">
        <v>282</v>
      </c>
      <c r="G39" s="127"/>
      <c r="H39" s="127" t="s">
        <v>51</v>
      </c>
      <c r="I39" s="129" t="s">
        <v>53</v>
      </c>
      <c r="J39" s="126"/>
      <c r="K39" s="127" t="s">
        <v>71</v>
      </c>
      <c r="L39" s="127" t="s">
        <v>106</v>
      </c>
      <c r="M39" s="126" t="str">
        <f t="shared" si="1"/>
        <v>□</v>
      </c>
      <c r="N39" s="126"/>
      <c r="O39" s="126" t="s">
        <v>51</v>
      </c>
      <c r="P39" s="126" t="s">
        <v>51</v>
      </c>
      <c r="Q39" s="127" t="s">
        <v>283</v>
      </c>
    </row>
    <row r="40" spans="1:17" s="150" customFormat="1" ht="42.75">
      <c r="A40" s="126">
        <v>40</v>
      </c>
      <c r="B40" s="127" t="s">
        <v>56</v>
      </c>
      <c r="C40" s="127" t="s">
        <v>284</v>
      </c>
      <c r="D40" s="126" t="s">
        <v>50</v>
      </c>
      <c r="E40" s="126" t="s">
        <v>52</v>
      </c>
      <c r="F40" s="128" t="s">
        <v>285</v>
      </c>
      <c r="G40" s="127"/>
      <c r="H40" s="127" t="s">
        <v>51</v>
      </c>
      <c r="I40" s="129" t="s">
        <v>53</v>
      </c>
      <c r="J40" s="126"/>
      <c r="K40" s="127" t="s">
        <v>71</v>
      </c>
      <c r="L40" s="127" t="s">
        <v>106</v>
      </c>
      <c r="M40" s="126" t="str">
        <f t="shared" si="1"/>
        <v>□</v>
      </c>
      <c r="N40" s="126"/>
      <c r="O40" s="126" t="s">
        <v>51</v>
      </c>
      <c r="P40" s="126" t="s">
        <v>51</v>
      </c>
      <c r="Q40" s="127" t="s">
        <v>286</v>
      </c>
    </row>
    <row r="41" spans="1:17" s="150" customFormat="1" ht="42.75">
      <c r="A41" s="126">
        <v>41</v>
      </c>
      <c r="B41" s="127" t="s">
        <v>56</v>
      </c>
      <c r="C41" s="127" t="s">
        <v>287</v>
      </c>
      <c r="D41" s="126" t="s">
        <v>50</v>
      </c>
      <c r="E41" s="126" t="s">
        <v>52</v>
      </c>
      <c r="F41" s="128" t="s">
        <v>288</v>
      </c>
      <c r="G41" s="127"/>
      <c r="H41" s="127" t="s">
        <v>51</v>
      </c>
      <c r="I41" s="129" t="s">
        <v>53</v>
      </c>
      <c r="J41" s="126"/>
      <c r="K41" s="127" t="s">
        <v>71</v>
      </c>
      <c r="L41" s="127" t="s">
        <v>106</v>
      </c>
      <c r="M41" s="126" t="str">
        <f t="shared" si="1"/>
        <v>□</v>
      </c>
      <c r="N41" s="126"/>
      <c r="O41" s="126" t="s">
        <v>51</v>
      </c>
      <c r="P41" s="126" t="s">
        <v>51</v>
      </c>
      <c r="Q41" s="127" t="s">
        <v>289</v>
      </c>
    </row>
    <row r="42" spans="1:17" s="150" customFormat="1" ht="42.75">
      <c r="A42" s="126">
        <v>42</v>
      </c>
      <c r="B42" s="127" t="s">
        <v>56</v>
      </c>
      <c r="C42" s="127" t="s">
        <v>290</v>
      </c>
      <c r="D42" s="126" t="s">
        <v>50</v>
      </c>
      <c r="E42" s="126" t="s">
        <v>52</v>
      </c>
      <c r="F42" s="128" t="s">
        <v>291</v>
      </c>
      <c r="G42" s="127"/>
      <c r="H42" s="127" t="s">
        <v>51</v>
      </c>
      <c r="I42" s="129" t="s">
        <v>53</v>
      </c>
      <c r="J42" s="126"/>
      <c r="K42" s="127" t="s">
        <v>71</v>
      </c>
      <c r="L42" s="127" t="s">
        <v>106</v>
      </c>
      <c r="M42" s="126" t="str">
        <f t="shared" si="1"/>
        <v>□</v>
      </c>
      <c r="N42" s="126"/>
      <c r="O42" s="126" t="s">
        <v>51</v>
      </c>
      <c r="P42" s="126" t="s">
        <v>51</v>
      </c>
      <c r="Q42" s="127" t="s">
        <v>292</v>
      </c>
    </row>
    <row r="43" spans="1:17" s="150" customFormat="1" ht="57">
      <c r="A43" s="126">
        <v>43</v>
      </c>
      <c r="B43" s="127" t="s">
        <v>56</v>
      </c>
      <c r="C43" s="127" t="s">
        <v>293</v>
      </c>
      <c r="D43" s="126" t="s">
        <v>50</v>
      </c>
      <c r="E43" s="126" t="s">
        <v>52</v>
      </c>
      <c r="F43" s="128" t="s">
        <v>294</v>
      </c>
      <c r="G43" s="127"/>
      <c r="H43" s="127" t="s">
        <v>51</v>
      </c>
      <c r="I43" s="129" t="s">
        <v>53</v>
      </c>
      <c r="J43" s="126"/>
      <c r="K43" s="127" t="s">
        <v>71</v>
      </c>
      <c r="L43" s="127" t="s">
        <v>106</v>
      </c>
      <c r="M43" s="126" t="str">
        <f t="shared" si="1"/>
        <v>□</v>
      </c>
      <c r="N43" s="126"/>
      <c r="O43" s="126" t="s">
        <v>51</v>
      </c>
      <c r="P43" s="126" t="s">
        <v>51</v>
      </c>
      <c r="Q43" s="127" t="s">
        <v>295</v>
      </c>
    </row>
    <row r="44" spans="1:17" s="150" customFormat="1" ht="57">
      <c r="A44" s="126">
        <v>44</v>
      </c>
      <c r="B44" s="127" t="s">
        <v>56</v>
      </c>
      <c r="C44" s="127" t="s">
        <v>296</v>
      </c>
      <c r="D44" s="126" t="s">
        <v>50</v>
      </c>
      <c r="E44" s="126" t="s">
        <v>52</v>
      </c>
      <c r="F44" s="128" t="s">
        <v>297</v>
      </c>
      <c r="G44" s="127"/>
      <c r="H44" s="127" t="s">
        <v>51</v>
      </c>
      <c r="I44" s="129" t="s">
        <v>53</v>
      </c>
      <c r="J44" s="126"/>
      <c r="K44" s="127" t="s">
        <v>71</v>
      </c>
      <c r="L44" s="127" t="s">
        <v>106</v>
      </c>
      <c r="M44" s="126" t="str">
        <f t="shared" si="1"/>
        <v>□</v>
      </c>
      <c r="N44" s="126"/>
      <c r="O44" s="126" t="s">
        <v>51</v>
      </c>
      <c r="P44" s="126" t="s">
        <v>51</v>
      </c>
      <c r="Q44" s="127" t="s">
        <v>298</v>
      </c>
    </row>
    <row r="45" spans="1:17" s="150" customFormat="1" ht="57">
      <c r="A45" s="126">
        <v>45</v>
      </c>
      <c r="B45" s="127" t="s">
        <v>56</v>
      </c>
      <c r="C45" s="127" t="s">
        <v>299</v>
      </c>
      <c r="D45" s="126" t="s">
        <v>50</v>
      </c>
      <c r="E45" s="126" t="s">
        <v>52</v>
      </c>
      <c r="F45" s="128" t="s">
        <v>300</v>
      </c>
      <c r="G45" s="127"/>
      <c r="H45" s="127" t="s">
        <v>51</v>
      </c>
      <c r="I45" s="129" t="s">
        <v>53</v>
      </c>
      <c r="J45" s="126"/>
      <c r="K45" s="127" t="s">
        <v>71</v>
      </c>
      <c r="L45" s="127" t="s">
        <v>106</v>
      </c>
      <c r="M45" s="126" t="str">
        <f t="shared" si="1"/>
        <v>□</v>
      </c>
      <c r="N45" s="126"/>
      <c r="O45" s="126" t="s">
        <v>51</v>
      </c>
      <c r="P45" s="126" t="s">
        <v>51</v>
      </c>
      <c r="Q45" s="127" t="s">
        <v>301</v>
      </c>
    </row>
    <row r="46" spans="1:17" s="150" customFormat="1" ht="57">
      <c r="A46" s="126">
        <v>46</v>
      </c>
      <c r="B46" s="127" t="s">
        <v>56</v>
      </c>
      <c r="C46" s="127" t="s">
        <v>302</v>
      </c>
      <c r="D46" s="126" t="s">
        <v>50</v>
      </c>
      <c r="E46" s="126" t="s">
        <v>52</v>
      </c>
      <c r="F46" s="128" t="s">
        <v>303</v>
      </c>
      <c r="G46" s="127"/>
      <c r="H46" s="127" t="s">
        <v>51</v>
      </c>
      <c r="I46" s="129" t="s">
        <v>53</v>
      </c>
      <c r="J46" s="126"/>
      <c r="K46" s="127" t="s">
        <v>71</v>
      </c>
      <c r="L46" s="127" t="s">
        <v>106</v>
      </c>
      <c r="M46" s="126" t="str">
        <f t="shared" si="1"/>
        <v>□</v>
      </c>
      <c r="N46" s="126"/>
      <c r="O46" s="126" t="s">
        <v>51</v>
      </c>
      <c r="P46" s="126" t="s">
        <v>51</v>
      </c>
      <c r="Q46" s="127" t="s">
        <v>304</v>
      </c>
    </row>
    <row r="47" spans="1:17" s="150" customFormat="1" ht="42.75">
      <c r="A47" s="126">
        <v>47</v>
      </c>
      <c r="B47" s="127" t="s">
        <v>56</v>
      </c>
      <c r="C47" s="127" t="s">
        <v>305</v>
      </c>
      <c r="D47" s="126" t="s">
        <v>50</v>
      </c>
      <c r="E47" s="126" t="s">
        <v>52</v>
      </c>
      <c r="F47" s="128" t="s">
        <v>306</v>
      </c>
      <c r="G47" s="127"/>
      <c r="H47" s="127" t="s">
        <v>51</v>
      </c>
      <c r="I47" s="129" t="s">
        <v>53</v>
      </c>
      <c r="J47" s="126"/>
      <c r="K47" s="127" t="s">
        <v>71</v>
      </c>
      <c r="L47" s="127" t="s">
        <v>106</v>
      </c>
      <c r="M47" s="126" t="str">
        <f t="shared" si="1"/>
        <v>□</v>
      </c>
      <c r="N47" s="126"/>
      <c r="O47" s="126" t="s">
        <v>51</v>
      </c>
      <c r="P47" s="126" t="s">
        <v>51</v>
      </c>
      <c r="Q47" s="127" t="s">
        <v>307</v>
      </c>
    </row>
    <row r="48" spans="1:17" s="150" customFormat="1" ht="57">
      <c r="A48" s="126">
        <v>48</v>
      </c>
      <c r="B48" s="127" t="s">
        <v>56</v>
      </c>
      <c r="C48" s="127" t="s">
        <v>308</v>
      </c>
      <c r="D48" s="126" t="s">
        <v>50</v>
      </c>
      <c r="E48" s="126" t="s">
        <v>52</v>
      </c>
      <c r="F48" s="128" t="s">
        <v>309</v>
      </c>
      <c r="G48" s="127"/>
      <c r="H48" s="127" t="s">
        <v>51</v>
      </c>
      <c r="I48" s="129" t="s">
        <v>53</v>
      </c>
      <c r="J48" s="126"/>
      <c r="K48" s="127" t="s">
        <v>71</v>
      </c>
      <c r="L48" s="127" t="s">
        <v>106</v>
      </c>
      <c r="M48" s="126" t="str">
        <f t="shared" si="1"/>
        <v>□</v>
      </c>
      <c r="N48" s="126"/>
      <c r="O48" s="126" t="s">
        <v>51</v>
      </c>
      <c r="P48" s="126" t="s">
        <v>51</v>
      </c>
      <c r="Q48" s="127" t="s">
        <v>310</v>
      </c>
    </row>
    <row r="49" spans="1:17" s="150" customFormat="1" ht="57">
      <c r="A49" s="126">
        <v>49</v>
      </c>
      <c r="B49" s="127" t="s">
        <v>56</v>
      </c>
      <c r="C49" s="127" t="s">
        <v>311</v>
      </c>
      <c r="D49" s="126" t="s">
        <v>50</v>
      </c>
      <c r="E49" s="126" t="s">
        <v>52</v>
      </c>
      <c r="F49" s="128" t="s">
        <v>312</v>
      </c>
      <c r="G49" s="127"/>
      <c r="H49" s="127" t="s">
        <v>51</v>
      </c>
      <c r="I49" s="129" t="s">
        <v>53</v>
      </c>
      <c r="J49" s="126"/>
      <c r="K49" s="127" t="s">
        <v>71</v>
      </c>
      <c r="L49" s="127" t="s">
        <v>106</v>
      </c>
      <c r="M49" s="126" t="str">
        <f t="shared" si="1"/>
        <v>□</v>
      </c>
      <c r="N49" s="126"/>
      <c r="O49" s="126" t="s">
        <v>51</v>
      </c>
      <c r="P49" s="126" t="s">
        <v>51</v>
      </c>
      <c r="Q49" s="127" t="s">
        <v>313</v>
      </c>
    </row>
    <row r="50" spans="1:17" s="150" customFormat="1" ht="57">
      <c r="A50" s="126">
        <v>50</v>
      </c>
      <c r="B50" s="127" t="s">
        <v>56</v>
      </c>
      <c r="C50" s="127" t="s">
        <v>314</v>
      </c>
      <c r="D50" s="126" t="s">
        <v>50</v>
      </c>
      <c r="E50" s="126" t="s">
        <v>52</v>
      </c>
      <c r="F50" s="128" t="s">
        <v>315</v>
      </c>
      <c r="G50" s="127"/>
      <c r="H50" s="127" t="s">
        <v>51</v>
      </c>
      <c r="I50" s="129" t="s">
        <v>53</v>
      </c>
      <c r="J50" s="126"/>
      <c r="K50" s="127" t="s">
        <v>71</v>
      </c>
      <c r="L50" s="127" t="s">
        <v>106</v>
      </c>
      <c r="M50" s="126" t="str">
        <f t="shared" si="1"/>
        <v>□</v>
      </c>
      <c r="N50" s="126"/>
      <c r="O50" s="126" t="s">
        <v>51</v>
      </c>
      <c r="P50" s="126" t="s">
        <v>51</v>
      </c>
      <c r="Q50" s="127" t="s">
        <v>316</v>
      </c>
    </row>
    <row r="51" spans="1:17" s="150" customFormat="1" ht="57">
      <c r="A51" s="126">
        <v>51</v>
      </c>
      <c r="B51" s="127" t="s">
        <v>56</v>
      </c>
      <c r="C51" s="127" t="s">
        <v>317</v>
      </c>
      <c r="D51" s="126" t="s">
        <v>50</v>
      </c>
      <c r="E51" s="126" t="s">
        <v>52</v>
      </c>
      <c r="F51" s="128" t="s">
        <v>318</v>
      </c>
      <c r="G51" s="127"/>
      <c r="H51" s="127" t="s">
        <v>51</v>
      </c>
      <c r="I51" s="129" t="s">
        <v>53</v>
      </c>
      <c r="J51" s="126"/>
      <c r="K51" s="127" t="s">
        <v>71</v>
      </c>
      <c r="L51" s="127" t="s">
        <v>106</v>
      </c>
      <c r="M51" s="126" t="str">
        <f t="shared" si="1"/>
        <v>□</v>
      </c>
      <c r="N51" s="126"/>
      <c r="O51" s="126" t="s">
        <v>51</v>
      </c>
      <c r="P51" s="126" t="s">
        <v>51</v>
      </c>
      <c r="Q51" s="127" t="s">
        <v>319</v>
      </c>
    </row>
    <row r="52" spans="1:17" s="150" customFormat="1" ht="42.75">
      <c r="A52" s="126">
        <v>52</v>
      </c>
      <c r="B52" s="127" t="s">
        <v>56</v>
      </c>
      <c r="C52" s="127" t="s">
        <v>320</v>
      </c>
      <c r="D52" s="126" t="s">
        <v>50</v>
      </c>
      <c r="E52" s="126" t="s">
        <v>52</v>
      </c>
      <c r="F52" s="128" t="s">
        <v>321</v>
      </c>
      <c r="G52" s="127"/>
      <c r="H52" s="127" t="s">
        <v>51</v>
      </c>
      <c r="I52" s="129" t="s">
        <v>53</v>
      </c>
      <c r="J52" s="126"/>
      <c r="K52" s="127" t="s">
        <v>71</v>
      </c>
      <c r="L52" s="127" t="s">
        <v>106</v>
      </c>
      <c r="M52" s="126" t="str">
        <f t="shared" si="1"/>
        <v>□</v>
      </c>
      <c r="N52" s="126"/>
      <c r="O52" s="126" t="s">
        <v>51</v>
      </c>
      <c r="P52" s="126" t="s">
        <v>51</v>
      </c>
      <c r="Q52" s="127" t="s">
        <v>322</v>
      </c>
    </row>
    <row r="53" spans="1:17" s="150" customFormat="1" ht="42.75">
      <c r="A53" s="126">
        <v>53</v>
      </c>
      <c r="B53" s="127" t="s">
        <v>56</v>
      </c>
      <c r="C53" s="127" t="s">
        <v>323</v>
      </c>
      <c r="D53" s="126" t="s">
        <v>50</v>
      </c>
      <c r="E53" s="126" t="s">
        <v>52</v>
      </c>
      <c r="F53" s="128" t="s">
        <v>1133</v>
      </c>
      <c r="G53" s="127"/>
      <c r="H53" s="127" t="s">
        <v>51</v>
      </c>
      <c r="I53" s="129" t="s">
        <v>53</v>
      </c>
      <c r="J53" s="126"/>
      <c r="K53" s="127" t="s">
        <v>71</v>
      </c>
      <c r="L53" s="127" t="s">
        <v>106</v>
      </c>
      <c r="M53" s="126" t="str">
        <f t="shared" si="1"/>
        <v>□</v>
      </c>
      <c r="N53" s="126"/>
      <c r="O53" s="126" t="s">
        <v>51</v>
      </c>
      <c r="P53" s="126" t="s">
        <v>51</v>
      </c>
      <c r="Q53" s="127" t="s">
        <v>325</v>
      </c>
    </row>
    <row r="54" spans="1:17" s="150" customFormat="1" ht="57">
      <c r="A54" s="126">
        <v>54</v>
      </c>
      <c r="B54" s="127" t="s">
        <v>56</v>
      </c>
      <c r="C54" s="127" t="s">
        <v>326</v>
      </c>
      <c r="D54" s="126" t="s">
        <v>50</v>
      </c>
      <c r="E54" s="126" t="s">
        <v>52</v>
      </c>
      <c r="F54" s="128" t="s">
        <v>1029</v>
      </c>
      <c r="G54" s="127"/>
      <c r="H54" s="127" t="s">
        <v>51</v>
      </c>
      <c r="I54" s="129" t="s">
        <v>53</v>
      </c>
      <c r="J54" s="126"/>
      <c r="K54" s="127" t="s">
        <v>71</v>
      </c>
      <c r="L54" s="127" t="s">
        <v>106</v>
      </c>
      <c r="M54" s="126" t="str">
        <f t="shared" si="1"/>
        <v>□</v>
      </c>
      <c r="N54" s="126"/>
      <c r="O54" s="126" t="s">
        <v>51</v>
      </c>
      <c r="P54" s="126" t="s">
        <v>51</v>
      </c>
      <c r="Q54" s="127" t="s">
        <v>328</v>
      </c>
    </row>
    <row r="55" spans="1:17" s="150" customFormat="1" ht="57">
      <c r="A55" s="126">
        <v>55</v>
      </c>
      <c r="B55" s="127" t="s">
        <v>56</v>
      </c>
      <c r="C55" s="127" t="s">
        <v>329</v>
      </c>
      <c r="D55" s="126" t="s">
        <v>50</v>
      </c>
      <c r="E55" s="126" t="s">
        <v>52</v>
      </c>
      <c r="F55" s="128" t="s">
        <v>1030</v>
      </c>
      <c r="G55" s="127"/>
      <c r="H55" s="127" t="s">
        <v>51</v>
      </c>
      <c r="I55" s="129" t="s">
        <v>53</v>
      </c>
      <c r="J55" s="126"/>
      <c r="K55" s="127" t="s">
        <v>71</v>
      </c>
      <c r="L55" s="127" t="s">
        <v>106</v>
      </c>
      <c r="M55" s="126" t="str">
        <f t="shared" si="1"/>
        <v>□</v>
      </c>
      <c r="N55" s="126"/>
      <c r="O55" s="126" t="s">
        <v>51</v>
      </c>
      <c r="P55" s="126" t="s">
        <v>51</v>
      </c>
      <c r="Q55" s="127" t="s">
        <v>331</v>
      </c>
    </row>
    <row r="56" spans="1:17" s="150" customFormat="1" ht="42.75">
      <c r="A56" s="126">
        <v>56</v>
      </c>
      <c r="B56" s="127" t="s">
        <v>56</v>
      </c>
      <c r="C56" s="127" t="s">
        <v>332</v>
      </c>
      <c r="D56" s="126" t="s">
        <v>50</v>
      </c>
      <c r="E56" s="126" t="s">
        <v>52</v>
      </c>
      <c r="F56" s="128" t="s">
        <v>1031</v>
      </c>
      <c r="G56" s="127"/>
      <c r="H56" s="127" t="s">
        <v>51</v>
      </c>
      <c r="I56" s="129" t="s">
        <v>53</v>
      </c>
      <c r="J56" s="126"/>
      <c r="K56" s="127" t="s">
        <v>71</v>
      </c>
      <c r="L56" s="127" t="s">
        <v>106</v>
      </c>
      <c r="M56" s="126" t="str">
        <f t="shared" si="1"/>
        <v>□</v>
      </c>
      <c r="N56" s="126"/>
      <c r="O56" s="126" t="s">
        <v>51</v>
      </c>
      <c r="P56" s="126" t="s">
        <v>51</v>
      </c>
      <c r="Q56" s="127" t="s">
        <v>334</v>
      </c>
    </row>
    <row r="57" spans="1:17" s="150" customFormat="1" ht="57">
      <c r="A57" s="126">
        <v>57</v>
      </c>
      <c r="B57" s="127" t="s">
        <v>56</v>
      </c>
      <c r="C57" s="127" t="s">
        <v>335</v>
      </c>
      <c r="D57" s="126" t="s">
        <v>50</v>
      </c>
      <c r="E57" s="126" t="s">
        <v>52</v>
      </c>
      <c r="F57" s="128" t="s">
        <v>1032</v>
      </c>
      <c r="G57" s="127"/>
      <c r="H57" s="127" t="s">
        <v>51</v>
      </c>
      <c r="I57" s="129" t="s">
        <v>53</v>
      </c>
      <c r="J57" s="126"/>
      <c r="K57" s="127" t="s">
        <v>71</v>
      </c>
      <c r="L57" s="127" t="s">
        <v>106</v>
      </c>
      <c r="M57" s="126" t="str">
        <f t="shared" si="1"/>
        <v>□</v>
      </c>
      <c r="N57" s="126"/>
      <c r="O57" s="126" t="s">
        <v>51</v>
      </c>
      <c r="P57" s="126" t="s">
        <v>51</v>
      </c>
      <c r="Q57" s="127" t="s">
        <v>337</v>
      </c>
    </row>
    <row r="58" spans="1:17" s="150" customFormat="1" ht="57">
      <c r="A58" s="126">
        <v>58</v>
      </c>
      <c r="B58" s="127" t="s">
        <v>56</v>
      </c>
      <c r="C58" s="127" t="s">
        <v>338</v>
      </c>
      <c r="D58" s="126" t="s">
        <v>50</v>
      </c>
      <c r="E58" s="126" t="s">
        <v>52</v>
      </c>
      <c r="F58" s="128" t="s">
        <v>1033</v>
      </c>
      <c r="G58" s="127"/>
      <c r="H58" s="127" t="s">
        <v>51</v>
      </c>
      <c r="I58" s="129" t="s">
        <v>53</v>
      </c>
      <c r="J58" s="126"/>
      <c r="K58" s="127" t="s">
        <v>71</v>
      </c>
      <c r="L58" s="127" t="s">
        <v>106</v>
      </c>
      <c r="M58" s="126" t="str">
        <f t="shared" si="1"/>
        <v>□</v>
      </c>
      <c r="N58" s="126"/>
      <c r="O58" s="126" t="s">
        <v>51</v>
      </c>
      <c r="P58" s="126" t="s">
        <v>51</v>
      </c>
      <c r="Q58" s="127" t="s">
        <v>340</v>
      </c>
    </row>
    <row r="59" spans="1:17" s="150" customFormat="1" ht="42.75">
      <c r="A59" s="126">
        <v>59</v>
      </c>
      <c r="B59" s="127" t="s">
        <v>56</v>
      </c>
      <c r="C59" s="127" t="s">
        <v>341</v>
      </c>
      <c r="D59" s="126" t="s">
        <v>50</v>
      </c>
      <c r="E59" s="126" t="s">
        <v>52</v>
      </c>
      <c r="F59" s="128" t="s">
        <v>1034</v>
      </c>
      <c r="G59" s="127"/>
      <c r="H59" s="127" t="s">
        <v>51</v>
      </c>
      <c r="I59" s="129" t="s">
        <v>53</v>
      </c>
      <c r="J59" s="126"/>
      <c r="K59" s="127" t="s">
        <v>71</v>
      </c>
      <c r="L59" s="127" t="s">
        <v>106</v>
      </c>
      <c r="M59" s="126" t="str">
        <f t="shared" si="1"/>
        <v>□</v>
      </c>
      <c r="N59" s="126"/>
      <c r="O59" s="126" t="s">
        <v>51</v>
      </c>
      <c r="P59" s="126" t="s">
        <v>51</v>
      </c>
      <c r="Q59" s="127" t="s">
        <v>343</v>
      </c>
    </row>
    <row r="60" spans="1:17" s="150" customFormat="1" ht="57">
      <c r="A60" s="126">
        <v>60</v>
      </c>
      <c r="B60" s="127" t="s">
        <v>56</v>
      </c>
      <c r="C60" s="127" t="s">
        <v>344</v>
      </c>
      <c r="D60" s="126" t="s">
        <v>50</v>
      </c>
      <c r="E60" s="126" t="s">
        <v>52</v>
      </c>
      <c r="F60" s="128" t="s">
        <v>1035</v>
      </c>
      <c r="G60" s="127"/>
      <c r="H60" s="127" t="s">
        <v>51</v>
      </c>
      <c r="I60" s="129" t="s">
        <v>53</v>
      </c>
      <c r="J60" s="126"/>
      <c r="K60" s="127" t="s">
        <v>71</v>
      </c>
      <c r="L60" s="127" t="s">
        <v>106</v>
      </c>
      <c r="M60" s="126" t="str">
        <f t="shared" si="1"/>
        <v>□</v>
      </c>
      <c r="N60" s="126"/>
      <c r="O60" s="126" t="s">
        <v>51</v>
      </c>
      <c r="P60" s="126" t="s">
        <v>51</v>
      </c>
      <c r="Q60" s="127" t="s">
        <v>346</v>
      </c>
    </row>
    <row r="61" spans="1:17" s="150" customFormat="1" ht="57">
      <c r="A61" s="126">
        <v>61</v>
      </c>
      <c r="B61" s="127" t="s">
        <v>56</v>
      </c>
      <c r="C61" s="127" t="s">
        <v>347</v>
      </c>
      <c r="D61" s="126" t="s">
        <v>50</v>
      </c>
      <c r="E61" s="126" t="s">
        <v>52</v>
      </c>
      <c r="F61" s="128" t="s">
        <v>1036</v>
      </c>
      <c r="G61" s="127"/>
      <c r="H61" s="127" t="s">
        <v>51</v>
      </c>
      <c r="I61" s="129" t="s">
        <v>53</v>
      </c>
      <c r="J61" s="126"/>
      <c r="K61" s="127" t="s">
        <v>71</v>
      </c>
      <c r="L61" s="127" t="s">
        <v>106</v>
      </c>
      <c r="M61" s="126" t="str">
        <f t="shared" si="1"/>
        <v>□</v>
      </c>
      <c r="N61" s="126"/>
      <c r="O61" s="126" t="s">
        <v>51</v>
      </c>
      <c r="P61" s="126" t="s">
        <v>51</v>
      </c>
      <c r="Q61" s="127" t="s">
        <v>349</v>
      </c>
    </row>
    <row r="62" spans="1:17" s="150" customFormat="1" ht="42.75">
      <c r="A62" s="126">
        <v>62</v>
      </c>
      <c r="B62" s="127" t="s">
        <v>56</v>
      </c>
      <c r="C62" s="127" t="s">
        <v>350</v>
      </c>
      <c r="D62" s="126" t="s">
        <v>50</v>
      </c>
      <c r="E62" s="126" t="s">
        <v>52</v>
      </c>
      <c r="F62" s="128" t="s">
        <v>1037</v>
      </c>
      <c r="G62" s="127"/>
      <c r="H62" s="127" t="s">
        <v>51</v>
      </c>
      <c r="I62" s="129" t="s">
        <v>53</v>
      </c>
      <c r="J62" s="126"/>
      <c r="K62" s="127" t="s">
        <v>71</v>
      </c>
      <c r="L62" s="127" t="s">
        <v>106</v>
      </c>
      <c r="M62" s="126" t="str">
        <f t="shared" si="1"/>
        <v>□</v>
      </c>
      <c r="N62" s="126"/>
      <c r="O62" s="126" t="s">
        <v>51</v>
      </c>
      <c r="P62" s="126" t="s">
        <v>51</v>
      </c>
      <c r="Q62" s="127" t="s">
        <v>352</v>
      </c>
    </row>
    <row r="63" spans="1:17" s="150" customFormat="1" ht="57">
      <c r="A63" s="126">
        <v>63</v>
      </c>
      <c r="B63" s="127" t="s">
        <v>56</v>
      </c>
      <c r="C63" s="127" t="s">
        <v>353</v>
      </c>
      <c r="D63" s="126" t="s">
        <v>50</v>
      </c>
      <c r="E63" s="126" t="s">
        <v>52</v>
      </c>
      <c r="F63" s="128" t="s">
        <v>1038</v>
      </c>
      <c r="G63" s="127"/>
      <c r="H63" s="127" t="s">
        <v>51</v>
      </c>
      <c r="I63" s="129" t="s">
        <v>53</v>
      </c>
      <c r="J63" s="126"/>
      <c r="K63" s="127" t="s">
        <v>71</v>
      </c>
      <c r="L63" s="127" t="s">
        <v>106</v>
      </c>
      <c r="M63" s="126" t="str">
        <f t="shared" si="1"/>
        <v>□</v>
      </c>
      <c r="N63" s="126"/>
      <c r="O63" s="126" t="s">
        <v>51</v>
      </c>
      <c r="P63" s="126" t="s">
        <v>51</v>
      </c>
      <c r="Q63" s="127" t="s">
        <v>355</v>
      </c>
    </row>
    <row r="64" spans="1:17" s="150" customFormat="1" ht="57">
      <c r="A64" s="126">
        <v>64</v>
      </c>
      <c r="B64" s="127" t="s">
        <v>56</v>
      </c>
      <c r="C64" s="127" t="s">
        <v>356</v>
      </c>
      <c r="D64" s="126" t="s">
        <v>50</v>
      </c>
      <c r="E64" s="126" t="s">
        <v>52</v>
      </c>
      <c r="F64" s="128" t="s">
        <v>1039</v>
      </c>
      <c r="G64" s="127"/>
      <c r="H64" s="127" t="s">
        <v>51</v>
      </c>
      <c r="I64" s="129" t="s">
        <v>53</v>
      </c>
      <c r="J64" s="126"/>
      <c r="K64" s="127" t="s">
        <v>71</v>
      </c>
      <c r="L64" s="127" t="s">
        <v>106</v>
      </c>
      <c r="M64" s="126" t="str">
        <f t="shared" si="1"/>
        <v>□</v>
      </c>
      <c r="N64" s="126"/>
      <c r="O64" s="126" t="s">
        <v>51</v>
      </c>
      <c r="P64" s="126" t="s">
        <v>51</v>
      </c>
      <c r="Q64" s="127" t="s">
        <v>358</v>
      </c>
    </row>
    <row r="65" spans="1:17" s="150" customFormat="1" ht="42.75">
      <c r="A65" s="126">
        <v>65</v>
      </c>
      <c r="B65" s="127" t="s">
        <v>56</v>
      </c>
      <c r="C65" s="127" t="s">
        <v>359</v>
      </c>
      <c r="D65" s="126" t="s">
        <v>50</v>
      </c>
      <c r="E65" s="126" t="s">
        <v>52</v>
      </c>
      <c r="F65" s="128" t="s">
        <v>1040</v>
      </c>
      <c r="G65" s="127"/>
      <c r="H65" s="127" t="s">
        <v>51</v>
      </c>
      <c r="I65" s="129" t="s">
        <v>53</v>
      </c>
      <c r="J65" s="126"/>
      <c r="K65" s="127" t="s">
        <v>71</v>
      </c>
      <c r="L65" s="127" t="s">
        <v>106</v>
      </c>
      <c r="M65" s="126" t="str">
        <f t="shared" si="1"/>
        <v>□</v>
      </c>
      <c r="N65" s="126"/>
      <c r="O65" s="126" t="s">
        <v>51</v>
      </c>
      <c r="P65" s="126" t="s">
        <v>51</v>
      </c>
      <c r="Q65" s="127" t="s">
        <v>361</v>
      </c>
    </row>
    <row r="66" spans="1:17" s="150" customFormat="1" ht="57">
      <c r="A66" s="126">
        <v>66</v>
      </c>
      <c r="B66" s="127" t="s">
        <v>56</v>
      </c>
      <c r="C66" s="127" t="s">
        <v>362</v>
      </c>
      <c r="D66" s="126" t="s">
        <v>50</v>
      </c>
      <c r="E66" s="126" t="s">
        <v>52</v>
      </c>
      <c r="F66" s="128" t="s">
        <v>1041</v>
      </c>
      <c r="G66" s="127"/>
      <c r="H66" s="127" t="s">
        <v>51</v>
      </c>
      <c r="I66" s="129" t="s">
        <v>53</v>
      </c>
      <c r="J66" s="126"/>
      <c r="K66" s="127" t="s">
        <v>71</v>
      </c>
      <c r="L66" s="127" t="s">
        <v>106</v>
      </c>
      <c r="M66" s="126" t="str">
        <f t="shared" ref="M66:M130" si="2">HYPERLINK(Q66,"□")</f>
        <v>□</v>
      </c>
      <c r="N66" s="126"/>
      <c r="O66" s="126" t="s">
        <v>51</v>
      </c>
      <c r="P66" s="126" t="s">
        <v>51</v>
      </c>
      <c r="Q66" s="127" t="s">
        <v>364</v>
      </c>
    </row>
    <row r="67" spans="1:17" s="150" customFormat="1" ht="57">
      <c r="A67" s="126">
        <v>67</v>
      </c>
      <c r="B67" s="127" t="s">
        <v>56</v>
      </c>
      <c r="C67" s="127" t="s">
        <v>365</v>
      </c>
      <c r="D67" s="126" t="s">
        <v>50</v>
      </c>
      <c r="E67" s="126" t="s">
        <v>52</v>
      </c>
      <c r="F67" s="128" t="s">
        <v>1042</v>
      </c>
      <c r="G67" s="127"/>
      <c r="H67" s="127" t="s">
        <v>51</v>
      </c>
      <c r="I67" s="129" t="s">
        <v>53</v>
      </c>
      <c r="J67" s="126"/>
      <c r="K67" s="127" t="s">
        <v>71</v>
      </c>
      <c r="L67" s="127" t="s">
        <v>106</v>
      </c>
      <c r="M67" s="126" t="str">
        <f t="shared" si="2"/>
        <v>□</v>
      </c>
      <c r="N67" s="126"/>
      <c r="O67" s="126" t="s">
        <v>51</v>
      </c>
      <c r="P67" s="126" t="s">
        <v>51</v>
      </c>
      <c r="Q67" s="127" t="s">
        <v>367</v>
      </c>
    </row>
    <row r="68" spans="1:17" s="150" customFormat="1" ht="42.75">
      <c r="A68" s="126">
        <v>68</v>
      </c>
      <c r="B68" s="127" t="s">
        <v>56</v>
      </c>
      <c r="C68" s="127" t="s">
        <v>196</v>
      </c>
      <c r="D68" s="126" t="s">
        <v>50</v>
      </c>
      <c r="E68" s="126" t="s">
        <v>52</v>
      </c>
      <c r="F68" s="128" t="s">
        <v>1043</v>
      </c>
      <c r="G68" s="127"/>
      <c r="H68" s="127" t="s">
        <v>51</v>
      </c>
      <c r="I68" s="129" t="s">
        <v>53</v>
      </c>
      <c r="J68" s="126"/>
      <c r="K68" s="127" t="s">
        <v>71</v>
      </c>
      <c r="L68" s="127" t="s">
        <v>106</v>
      </c>
      <c r="M68" s="126" t="str">
        <f t="shared" si="2"/>
        <v>□</v>
      </c>
      <c r="N68" s="126"/>
      <c r="O68" s="126" t="s">
        <v>51</v>
      </c>
      <c r="P68" s="126" t="s">
        <v>51</v>
      </c>
      <c r="Q68" s="127" t="s">
        <v>369</v>
      </c>
    </row>
    <row r="69" spans="1:17" s="150" customFormat="1" ht="57">
      <c r="A69" s="126">
        <v>69</v>
      </c>
      <c r="B69" s="127" t="s">
        <v>56</v>
      </c>
      <c r="C69" s="127" t="s">
        <v>370</v>
      </c>
      <c r="D69" s="126" t="s">
        <v>50</v>
      </c>
      <c r="E69" s="126" t="s">
        <v>52</v>
      </c>
      <c r="F69" s="128" t="s">
        <v>1044</v>
      </c>
      <c r="G69" s="127"/>
      <c r="H69" s="127" t="s">
        <v>51</v>
      </c>
      <c r="I69" s="129" t="s">
        <v>53</v>
      </c>
      <c r="J69" s="126"/>
      <c r="K69" s="127" t="s">
        <v>71</v>
      </c>
      <c r="L69" s="127" t="s">
        <v>106</v>
      </c>
      <c r="M69" s="126" t="str">
        <f t="shared" si="2"/>
        <v>□</v>
      </c>
      <c r="N69" s="126"/>
      <c r="O69" s="126" t="s">
        <v>51</v>
      </c>
      <c r="P69" s="126" t="s">
        <v>51</v>
      </c>
      <c r="Q69" s="127" t="s">
        <v>372</v>
      </c>
    </row>
    <row r="70" spans="1:17" s="150" customFormat="1" ht="57">
      <c r="A70" s="126">
        <v>70</v>
      </c>
      <c r="B70" s="127" t="s">
        <v>56</v>
      </c>
      <c r="C70" s="127" t="s">
        <v>373</v>
      </c>
      <c r="D70" s="126" t="s">
        <v>50</v>
      </c>
      <c r="E70" s="126" t="s">
        <v>52</v>
      </c>
      <c r="F70" s="128" t="s">
        <v>1045</v>
      </c>
      <c r="G70" s="127"/>
      <c r="H70" s="127" t="s">
        <v>51</v>
      </c>
      <c r="I70" s="129" t="s">
        <v>53</v>
      </c>
      <c r="J70" s="126"/>
      <c r="K70" s="127" t="s">
        <v>71</v>
      </c>
      <c r="L70" s="127" t="s">
        <v>106</v>
      </c>
      <c r="M70" s="126" t="str">
        <f t="shared" si="2"/>
        <v>□</v>
      </c>
      <c r="N70" s="126"/>
      <c r="O70" s="126" t="s">
        <v>51</v>
      </c>
      <c r="P70" s="126" t="s">
        <v>51</v>
      </c>
      <c r="Q70" s="127" t="s">
        <v>375</v>
      </c>
    </row>
    <row r="71" spans="1:17" s="150" customFormat="1" ht="42.75">
      <c r="A71" s="126">
        <v>71</v>
      </c>
      <c r="B71" s="127" t="s">
        <v>56</v>
      </c>
      <c r="C71" s="127" t="s">
        <v>376</v>
      </c>
      <c r="D71" s="126" t="s">
        <v>50</v>
      </c>
      <c r="E71" s="126" t="s">
        <v>52</v>
      </c>
      <c r="F71" s="128" t="s">
        <v>1046</v>
      </c>
      <c r="G71" s="127"/>
      <c r="H71" s="127" t="s">
        <v>51</v>
      </c>
      <c r="I71" s="129" t="s">
        <v>53</v>
      </c>
      <c r="J71" s="126"/>
      <c r="K71" s="127" t="s">
        <v>71</v>
      </c>
      <c r="L71" s="127" t="s">
        <v>106</v>
      </c>
      <c r="M71" s="126" t="str">
        <f t="shared" si="2"/>
        <v>□</v>
      </c>
      <c r="N71" s="126"/>
      <c r="O71" s="126" t="s">
        <v>51</v>
      </c>
      <c r="P71" s="126" t="s">
        <v>51</v>
      </c>
      <c r="Q71" s="127" t="s">
        <v>378</v>
      </c>
    </row>
    <row r="72" spans="1:17" s="150" customFormat="1" ht="57">
      <c r="A72" s="126">
        <v>72</v>
      </c>
      <c r="B72" s="127" t="s">
        <v>56</v>
      </c>
      <c r="C72" s="127" t="s">
        <v>379</v>
      </c>
      <c r="D72" s="126" t="s">
        <v>50</v>
      </c>
      <c r="E72" s="126" t="s">
        <v>52</v>
      </c>
      <c r="F72" s="128" t="s">
        <v>1047</v>
      </c>
      <c r="G72" s="127"/>
      <c r="H72" s="127" t="s">
        <v>51</v>
      </c>
      <c r="I72" s="129" t="s">
        <v>53</v>
      </c>
      <c r="J72" s="126"/>
      <c r="K72" s="127" t="s">
        <v>71</v>
      </c>
      <c r="L72" s="127" t="s">
        <v>106</v>
      </c>
      <c r="M72" s="126" t="str">
        <f t="shared" si="2"/>
        <v>□</v>
      </c>
      <c r="N72" s="126"/>
      <c r="O72" s="126" t="s">
        <v>51</v>
      </c>
      <c r="P72" s="126" t="s">
        <v>51</v>
      </c>
      <c r="Q72" s="127" t="s">
        <v>381</v>
      </c>
    </row>
    <row r="73" spans="1:17" s="150" customFormat="1" ht="57">
      <c r="A73" s="126">
        <v>73</v>
      </c>
      <c r="B73" s="127" t="s">
        <v>56</v>
      </c>
      <c r="C73" s="127" t="s">
        <v>382</v>
      </c>
      <c r="D73" s="126" t="s">
        <v>50</v>
      </c>
      <c r="E73" s="126" t="s">
        <v>52</v>
      </c>
      <c r="F73" s="128" t="s">
        <v>1048</v>
      </c>
      <c r="G73" s="127"/>
      <c r="H73" s="127" t="s">
        <v>51</v>
      </c>
      <c r="I73" s="129" t="s">
        <v>53</v>
      </c>
      <c r="J73" s="126"/>
      <c r="K73" s="127" t="s">
        <v>71</v>
      </c>
      <c r="L73" s="127" t="s">
        <v>106</v>
      </c>
      <c r="M73" s="126" t="str">
        <f t="shared" si="2"/>
        <v>□</v>
      </c>
      <c r="N73" s="126"/>
      <c r="O73" s="126" t="s">
        <v>51</v>
      </c>
      <c r="P73" s="126" t="s">
        <v>51</v>
      </c>
      <c r="Q73" s="127" t="s">
        <v>384</v>
      </c>
    </row>
    <row r="74" spans="1:17" ht="42.75">
      <c r="A74" s="126">
        <v>74</v>
      </c>
      <c r="B74" s="127" t="s">
        <v>56</v>
      </c>
      <c r="C74" s="127" t="s">
        <v>385</v>
      </c>
      <c r="D74" s="126" t="s">
        <v>50</v>
      </c>
      <c r="E74" s="126" t="s">
        <v>52</v>
      </c>
      <c r="F74" s="128" t="s">
        <v>1049</v>
      </c>
      <c r="G74" s="127"/>
      <c r="H74" s="127" t="s">
        <v>51</v>
      </c>
      <c r="I74" s="129" t="s">
        <v>53</v>
      </c>
      <c r="J74" s="126"/>
      <c r="K74" s="127" t="s">
        <v>71</v>
      </c>
      <c r="L74" s="127" t="s">
        <v>106</v>
      </c>
      <c r="M74" s="126" t="str">
        <f t="shared" si="2"/>
        <v>□</v>
      </c>
      <c r="N74" s="126"/>
      <c r="O74" s="126" t="s">
        <v>51</v>
      </c>
      <c r="P74" s="126" t="s">
        <v>51</v>
      </c>
      <c r="Q74" s="127" t="s">
        <v>387</v>
      </c>
    </row>
    <row r="75" spans="1:17" ht="57">
      <c r="A75" s="126">
        <v>75</v>
      </c>
      <c r="B75" s="127" t="s">
        <v>56</v>
      </c>
      <c r="C75" s="127" t="s">
        <v>388</v>
      </c>
      <c r="D75" s="126" t="s">
        <v>50</v>
      </c>
      <c r="E75" s="126" t="s">
        <v>52</v>
      </c>
      <c r="F75" s="128" t="s">
        <v>1050</v>
      </c>
      <c r="G75" s="127"/>
      <c r="H75" s="127" t="s">
        <v>51</v>
      </c>
      <c r="I75" s="129" t="s">
        <v>53</v>
      </c>
      <c r="J75" s="126"/>
      <c r="K75" s="127" t="s">
        <v>71</v>
      </c>
      <c r="L75" s="127" t="s">
        <v>106</v>
      </c>
      <c r="M75" s="126" t="str">
        <f t="shared" si="2"/>
        <v>□</v>
      </c>
      <c r="N75" s="126"/>
      <c r="O75" s="126" t="s">
        <v>51</v>
      </c>
      <c r="P75" s="126" t="s">
        <v>51</v>
      </c>
      <c r="Q75" s="127" t="s">
        <v>390</v>
      </c>
    </row>
    <row r="76" spans="1:17" ht="57">
      <c r="A76" s="126">
        <v>76</v>
      </c>
      <c r="B76" s="127" t="s">
        <v>56</v>
      </c>
      <c r="C76" s="127" t="s">
        <v>391</v>
      </c>
      <c r="D76" s="126" t="s">
        <v>50</v>
      </c>
      <c r="E76" s="126" t="s">
        <v>52</v>
      </c>
      <c r="F76" s="128" t="s">
        <v>1051</v>
      </c>
      <c r="G76" s="127"/>
      <c r="H76" s="127" t="s">
        <v>51</v>
      </c>
      <c r="I76" s="129" t="s">
        <v>53</v>
      </c>
      <c r="J76" s="126"/>
      <c r="K76" s="127" t="s">
        <v>71</v>
      </c>
      <c r="L76" s="127" t="s">
        <v>106</v>
      </c>
      <c r="M76" s="126" t="str">
        <f t="shared" si="2"/>
        <v>□</v>
      </c>
      <c r="N76" s="126"/>
      <c r="O76" s="126" t="s">
        <v>51</v>
      </c>
      <c r="P76" s="126" t="s">
        <v>51</v>
      </c>
      <c r="Q76" s="127" t="s">
        <v>393</v>
      </c>
    </row>
    <row r="77" spans="1:17" ht="42.75">
      <c r="A77" s="126">
        <v>77</v>
      </c>
      <c r="B77" s="127" t="s">
        <v>56</v>
      </c>
      <c r="C77" s="127" t="s">
        <v>394</v>
      </c>
      <c r="D77" s="126" t="s">
        <v>50</v>
      </c>
      <c r="E77" s="126" t="s">
        <v>52</v>
      </c>
      <c r="F77" s="128" t="s">
        <v>1052</v>
      </c>
      <c r="G77" s="127"/>
      <c r="H77" s="127" t="s">
        <v>51</v>
      </c>
      <c r="I77" s="129" t="s">
        <v>53</v>
      </c>
      <c r="J77" s="126"/>
      <c r="K77" s="127" t="s">
        <v>71</v>
      </c>
      <c r="L77" s="127" t="s">
        <v>106</v>
      </c>
      <c r="M77" s="126" t="str">
        <f t="shared" si="2"/>
        <v>□</v>
      </c>
      <c r="N77" s="126"/>
      <c r="O77" s="126" t="s">
        <v>51</v>
      </c>
      <c r="P77" s="126" t="s">
        <v>51</v>
      </c>
      <c r="Q77" s="127" t="s">
        <v>396</v>
      </c>
    </row>
    <row r="78" spans="1:17" ht="57">
      <c r="A78" s="126">
        <v>78</v>
      </c>
      <c r="B78" s="127" t="s">
        <v>56</v>
      </c>
      <c r="C78" s="127" t="s">
        <v>397</v>
      </c>
      <c r="D78" s="126" t="s">
        <v>50</v>
      </c>
      <c r="E78" s="126" t="s">
        <v>52</v>
      </c>
      <c r="F78" s="128" t="s">
        <v>1053</v>
      </c>
      <c r="G78" s="127"/>
      <c r="H78" s="127" t="s">
        <v>51</v>
      </c>
      <c r="I78" s="129" t="s">
        <v>53</v>
      </c>
      <c r="J78" s="126"/>
      <c r="K78" s="127" t="s">
        <v>71</v>
      </c>
      <c r="L78" s="127" t="s">
        <v>106</v>
      </c>
      <c r="M78" s="126" t="str">
        <f t="shared" si="2"/>
        <v>□</v>
      </c>
      <c r="N78" s="126"/>
      <c r="O78" s="126" t="s">
        <v>51</v>
      </c>
      <c r="P78" s="126" t="s">
        <v>51</v>
      </c>
      <c r="Q78" s="127" t="s">
        <v>399</v>
      </c>
    </row>
    <row r="79" spans="1:17" ht="57">
      <c r="A79" s="126">
        <v>79</v>
      </c>
      <c r="B79" s="127" t="s">
        <v>56</v>
      </c>
      <c r="C79" s="127" t="s">
        <v>400</v>
      </c>
      <c r="D79" s="126" t="s">
        <v>50</v>
      </c>
      <c r="E79" s="126" t="s">
        <v>52</v>
      </c>
      <c r="F79" s="128" t="s">
        <v>1054</v>
      </c>
      <c r="G79" s="127"/>
      <c r="H79" s="127" t="s">
        <v>51</v>
      </c>
      <c r="I79" s="129" t="s">
        <v>53</v>
      </c>
      <c r="J79" s="126"/>
      <c r="K79" s="127" t="s">
        <v>71</v>
      </c>
      <c r="L79" s="127" t="s">
        <v>106</v>
      </c>
      <c r="M79" s="126" t="str">
        <f t="shared" si="2"/>
        <v>□</v>
      </c>
      <c r="N79" s="126"/>
      <c r="O79" s="126" t="s">
        <v>51</v>
      </c>
      <c r="P79" s="126" t="s">
        <v>51</v>
      </c>
      <c r="Q79" s="127" t="s">
        <v>402</v>
      </c>
    </row>
    <row r="80" spans="1:17" ht="42.75">
      <c r="A80" s="126">
        <v>80</v>
      </c>
      <c r="B80" s="127" t="s">
        <v>56</v>
      </c>
      <c r="C80" s="127" t="s">
        <v>403</v>
      </c>
      <c r="D80" s="126" t="s">
        <v>50</v>
      </c>
      <c r="E80" s="126" t="s">
        <v>52</v>
      </c>
      <c r="F80" s="128" t="s">
        <v>1055</v>
      </c>
      <c r="G80" s="127"/>
      <c r="H80" s="127" t="s">
        <v>51</v>
      </c>
      <c r="I80" s="129" t="s">
        <v>53</v>
      </c>
      <c r="J80" s="126"/>
      <c r="K80" s="127" t="s">
        <v>71</v>
      </c>
      <c r="L80" s="127" t="s">
        <v>106</v>
      </c>
      <c r="M80" s="126" t="str">
        <f t="shared" si="2"/>
        <v>□</v>
      </c>
      <c r="N80" s="126"/>
      <c r="O80" s="126" t="s">
        <v>51</v>
      </c>
      <c r="P80" s="126" t="s">
        <v>51</v>
      </c>
      <c r="Q80" s="127" t="s">
        <v>405</v>
      </c>
    </row>
    <row r="81" spans="1:17" ht="57">
      <c r="A81" s="126">
        <v>81</v>
      </c>
      <c r="B81" s="127" t="s">
        <v>56</v>
      </c>
      <c r="C81" s="127" t="s">
        <v>406</v>
      </c>
      <c r="D81" s="126" t="s">
        <v>50</v>
      </c>
      <c r="E81" s="126" t="s">
        <v>52</v>
      </c>
      <c r="F81" s="128" t="s">
        <v>1056</v>
      </c>
      <c r="G81" s="127"/>
      <c r="H81" s="127" t="s">
        <v>51</v>
      </c>
      <c r="I81" s="129" t="s">
        <v>53</v>
      </c>
      <c r="J81" s="126"/>
      <c r="K81" s="127" t="s">
        <v>71</v>
      </c>
      <c r="L81" s="127" t="s">
        <v>106</v>
      </c>
      <c r="M81" s="126" t="str">
        <f t="shared" si="2"/>
        <v>□</v>
      </c>
      <c r="N81" s="126"/>
      <c r="O81" s="126" t="s">
        <v>51</v>
      </c>
      <c r="P81" s="126" t="s">
        <v>51</v>
      </c>
      <c r="Q81" s="127" t="s">
        <v>408</v>
      </c>
    </row>
    <row r="82" spans="1:17" ht="57">
      <c r="A82" s="126">
        <v>82</v>
      </c>
      <c r="B82" s="127" t="s">
        <v>56</v>
      </c>
      <c r="C82" s="127" t="s">
        <v>409</v>
      </c>
      <c r="D82" s="126" t="s">
        <v>50</v>
      </c>
      <c r="E82" s="126" t="s">
        <v>52</v>
      </c>
      <c r="F82" s="128" t="s">
        <v>1057</v>
      </c>
      <c r="G82" s="127"/>
      <c r="H82" s="127" t="s">
        <v>51</v>
      </c>
      <c r="I82" s="129" t="s">
        <v>53</v>
      </c>
      <c r="J82" s="126"/>
      <c r="K82" s="127" t="s">
        <v>71</v>
      </c>
      <c r="L82" s="127" t="s">
        <v>106</v>
      </c>
      <c r="M82" s="126" t="str">
        <f t="shared" si="2"/>
        <v>□</v>
      </c>
      <c r="N82" s="126"/>
      <c r="O82" s="126" t="s">
        <v>51</v>
      </c>
      <c r="P82" s="126" t="s">
        <v>51</v>
      </c>
      <c r="Q82" s="127" t="s">
        <v>411</v>
      </c>
    </row>
    <row r="83" spans="1:17" ht="42.75">
      <c r="A83" s="126">
        <v>83</v>
      </c>
      <c r="B83" s="127" t="s">
        <v>56</v>
      </c>
      <c r="C83" s="127" t="s">
        <v>412</v>
      </c>
      <c r="D83" s="126" t="s">
        <v>50</v>
      </c>
      <c r="E83" s="126" t="s">
        <v>52</v>
      </c>
      <c r="F83" s="128" t="s">
        <v>1058</v>
      </c>
      <c r="G83" s="127"/>
      <c r="H83" s="127" t="s">
        <v>51</v>
      </c>
      <c r="I83" s="129" t="s">
        <v>53</v>
      </c>
      <c r="J83" s="126"/>
      <c r="K83" s="127" t="s">
        <v>71</v>
      </c>
      <c r="L83" s="127" t="s">
        <v>106</v>
      </c>
      <c r="M83" s="126" t="str">
        <f t="shared" ref="M83:M100" si="3">HYPERLINK(Q83,"□")</f>
        <v>□</v>
      </c>
      <c r="N83" s="126"/>
      <c r="O83" s="126" t="s">
        <v>51</v>
      </c>
      <c r="P83" s="126" t="s">
        <v>51</v>
      </c>
      <c r="Q83" s="127" t="s">
        <v>414</v>
      </c>
    </row>
    <row r="84" spans="1:17" ht="57">
      <c r="A84" s="126">
        <v>84</v>
      </c>
      <c r="B84" s="127" t="s">
        <v>56</v>
      </c>
      <c r="C84" s="127" t="s">
        <v>415</v>
      </c>
      <c r="D84" s="126" t="s">
        <v>50</v>
      </c>
      <c r="E84" s="126" t="s">
        <v>52</v>
      </c>
      <c r="F84" s="128" t="s">
        <v>1059</v>
      </c>
      <c r="G84" s="127"/>
      <c r="H84" s="127" t="s">
        <v>51</v>
      </c>
      <c r="I84" s="129" t="s">
        <v>53</v>
      </c>
      <c r="J84" s="126"/>
      <c r="K84" s="127" t="s">
        <v>71</v>
      </c>
      <c r="L84" s="127" t="s">
        <v>106</v>
      </c>
      <c r="M84" s="126" t="str">
        <f t="shared" si="3"/>
        <v>□</v>
      </c>
      <c r="N84" s="126"/>
      <c r="O84" s="126" t="s">
        <v>51</v>
      </c>
      <c r="P84" s="126" t="s">
        <v>51</v>
      </c>
      <c r="Q84" s="127" t="s">
        <v>414</v>
      </c>
    </row>
    <row r="85" spans="1:17" ht="57">
      <c r="A85" s="126">
        <v>85</v>
      </c>
      <c r="B85" s="127" t="s">
        <v>56</v>
      </c>
      <c r="C85" s="127" t="s">
        <v>417</v>
      </c>
      <c r="D85" s="126" t="s">
        <v>50</v>
      </c>
      <c r="E85" s="126" t="s">
        <v>52</v>
      </c>
      <c r="F85" s="128" t="s">
        <v>1060</v>
      </c>
      <c r="G85" s="127"/>
      <c r="H85" s="127" t="s">
        <v>51</v>
      </c>
      <c r="I85" s="129" t="s">
        <v>53</v>
      </c>
      <c r="J85" s="126"/>
      <c r="K85" s="127" t="s">
        <v>71</v>
      </c>
      <c r="L85" s="127" t="s">
        <v>106</v>
      </c>
      <c r="M85" s="126" t="str">
        <f t="shared" si="3"/>
        <v>□</v>
      </c>
      <c r="N85" s="126"/>
      <c r="O85" s="126" t="s">
        <v>51</v>
      </c>
      <c r="P85" s="126" t="s">
        <v>51</v>
      </c>
      <c r="Q85" s="127" t="s">
        <v>414</v>
      </c>
    </row>
    <row r="86" spans="1:17" ht="42.75">
      <c r="A86" s="126">
        <v>86</v>
      </c>
      <c r="B86" s="127" t="s">
        <v>56</v>
      </c>
      <c r="C86" s="127" t="s">
        <v>420</v>
      </c>
      <c r="D86" s="126" t="s">
        <v>50</v>
      </c>
      <c r="E86" s="126" t="s">
        <v>52</v>
      </c>
      <c r="F86" s="128" t="s">
        <v>1061</v>
      </c>
      <c r="G86" s="127"/>
      <c r="H86" s="127" t="s">
        <v>51</v>
      </c>
      <c r="I86" s="129" t="s">
        <v>53</v>
      </c>
      <c r="J86" s="126"/>
      <c r="K86" s="127" t="s">
        <v>71</v>
      </c>
      <c r="L86" s="127" t="s">
        <v>106</v>
      </c>
      <c r="M86" s="126" t="str">
        <f t="shared" si="3"/>
        <v>□</v>
      </c>
      <c r="N86" s="126"/>
      <c r="O86" s="126" t="s">
        <v>51</v>
      </c>
      <c r="P86" s="126" t="s">
        <v>51</v>
      </c>
      <c r="Q86" s="127" t="s">
        <v>414</v>
      </c>
    </row>
    <row r="87" spans="1:17" ht="57">
      <c r="A87" s="126">
        <v>87</v>
      </c>
      <c r="B87" s="127" t="s">
        <v>56</v>
      </c>
      <c r="C87" s="127" t="s">
        <v>423</v>
      </c>
      <c r="D87" s="126" t="s">
        <v>50</v>
      </c>
      <c r="E87" s="126" t="s">
        <v>52</v>
      </c>
      <c r="F87" s="128" t="s">
        <v>1062</v>
      </c>
      <c r="G87" s="127"/>
      <c r="H87" s="127" t="s">
        <v>51</v>
      </c>
      <c r="I87" s="129" t="s">
        <v>53</v>
      </c>
      <c r="J87" s="126"/>
      <c r="K87" s="127" t="s">
        <v>71</v>
      </c>
      <c r="L87" s="127" t="s">
        <v>106</v>
      </c>
      <c r="M87" s="126" t="str">
        <f t="shared" si="3"/>
        <v>□</v>
      </c>
      <c r="N87" s="126"/>
      <c r="O87" s="126" t="s">
        <v>51</v>
      </c>
      <c r="P87" s="126" t="s">
        <v>51</v>
      </c>
      <c r="Q87" s="127" t="s">
        <v>414</v>
      </c>
    </row>
    <row r="88" spans="1:17" ht="57">
      <c r="A88" s="126">
        <v>88</v>
      </c>
      <c r="B88" s="127" t="s">
        <v>56</v>
      </c>
      <c r="C88" s="127" t="s">
        <v>426</v>
      </c>
      <c r="D88" s="126" t="s">
        <v>50</v>
      </c>
      <c r="E88" s="126" t="s">
        <v>52</v>
      </c>
      <c r="F88" s="128" t="s">
        <v>1063</v>
      </c>
      <c r="G88" s="127"/>
      <c r="H88" s="127" t="s">
        <v>51</v>
      </c>
      <c r="I88" s="129" t="s">
        <v>53</v>
      </c>
      <c r="J88" s="126"/>
      <c r="K88" s="127" t="s">
        <v>71</v>
      </c>
      <c r="L88" s="127" t="s">
        <v>106</v>
      </c>
      <c r="M88" s="126" t="str">
        <f t="shared" si="3"/>
        <v>□</v>
      </c>
      <c r="N88" s="126"/>
      <c r="O88" s="126" t="s">
        <v>51</v>
      </c>
      <c r="P88" s="126" t="s">
        <v>51</v>
      </c>
      <c r="Q88" s="127" t="s">
        <v>414</v>
      </c>
    </row>
    <row r="89" spans="1:17" ht="42.75">
      <c r="A89" s="126">
        <v>89</v>
      </c>
      <c r="B89" s="127" t="s">
        <v>56</v>
      </c>
      <c r="C89" s="127" t="s">
        <v>429</v>
      </c>
      <c r="D89" s="126" t="s">
        <v>50</v>
      </c>
      <c r="E89" s="126" t="s">
        <v>52</v>
      </c>
      <c r="F89" s="128" t="s">
        <v>1064</v>
      </c>
      <c r="G89" s="127"/>
      <c r="H89" s="127" t="s">
        <v>51</v>
      </c>
      <c r="I89" s="129" t="s">
        <v>53</v>
      </c>
      <c r="J89" s="126"/>
      <c r="K89" s="127" t="s">
        <v>71</v>
      </c>
      <c r="L89" s="127" t="s">
        <v>106</v>
      </c>
      <c r="M89" s="126" t="str">
        <f t="shared" si="3"/>
        <v>□</v>
      </c>
      <c r="N89" s="126"/>
      <c r="O89" s="126" t="s">
        <v>51</v>
      </c>
      <c r="P89" s="126" t="s">
        <v>51</v>
      </c>
      <c r="Q89" s="127" t="s">
        <v>414</v>
      </c>
    </row>
    <row r="90" spans="1:17" ht="57">
      <c r="A90" s="126">
        <v>90</v>
      </c>
      <c r="B90" s="127" t="s">
        <v>56</v>
      </c>
      <c r="C90" s="127" t="s">
        <v>432</v>
      </c>
      <c r="D90" s="126" t="s">
        <v>50</v>
      </c>
      <c r="E90" s="126" t="s">
        <v>52</v>
      </c>
      <c r="F90" s="128" t="s">
        <v>1065</v>
      </c>
      <c r="G90" s="127"/>
      <c r="H90" s="127" t="s">
        <v>51</v>
      </c>
      <c r="I90" s="129" t="s">
        <v>53</v>
      </c>
      <c r="J90" s="126"/>
      <c r="K90" s="127" t="s">
        <v>71</v>
      </c>
      <c r="L90" s="127" t="s">
        <v>106</v>
      </c>
      <c r="M90" s="126" t="str">
        <f t="shared" si="3"/>
        <v>□</v>
      </c>
      <c r="N90" s="126"/>
      <c r="O90" s="126" t="s">
        <v>51</v>
      </c>
      <c r="P90" s="126" t="s">
        <v>51</v>
      </c>
      <c r="Q90" s="127" t="s">
        <v>414</v>
      </c>
    </row>
    <row r="91" spans="1:17" ht="57">
      <c r="A91" s="126">
        <v>91</v>
      </c>
      <c r="B91" s="127" t="s">
        <v>56</v>
      </c>
      <c r="C91" s="127" t="s">
        <v>435</v>
      </c>
      <c r="D91" s="126" t="s">
        <v>50</v>
      </c>
      <c r="E91" s="126" t="s">
        <v>52</v>
      </c>
      <c r="F91" s="128" t="s">
        <v>1066</v>
      </c>
      <c r="G91" s="127"/>
      <c r="H91" s="127" t="s">
        <v>51</v>
      </c>
      <c r="I91" s="129" t="s">
        <v>53</v>
      </c>
      <c r="J91" s="126"/>
      <c r="K91" s="127" t="s">
        <v>71</v>
      </c>
      <c r="L91" s="127" t="s">
        <v>106</v>
      </c>
      <c r="M91" s="126" t="str">
        <f t="shared" si="3"/>
        <v>□</v>
      </c>
      <c r="N91" s="126"/>
      <c r="O91" s="126" t="s">
        <v>51</v>
      </c>
      <c r="P91" s="126" t="s">
        <v>51</v>
      </c>
      <c r="Q91" s="127" t="s">
        <v>414</v>
      </c>
    </row>
    <row r="92" spans="1:17" ht="42.75">
      <c r="A92" s="126">
        <v>92</v>
      </c>
      <c r="B92" s="127" t="s">
        <v>56</v>
      </c>
      <c r="C92" s="127" t="s">
        <v>438</v>
      </c>
      <c r="D92" s="126" t="s">
        <v>50</v>
      </c>
      <c r="E92" s="126" t="s">
        <v>52</v>
      </c>
      <c r="F92" s="128" t="s">
        <v>1067</v>
      </c>
      <c r="G92" s="127"/>
      <c r="H92" s="127" t="s">
        <v>51</v>
      </c>
      <c r="I92" s="129" t="s">
        <v>53</v>
      </c>
      <c r="J92" s="126"/>
      <c r="K92" s="127" t="s">
        <v>71</v>
      </c>
      <c r="L92" s="127" t="s">
        <v>106</v>
      </c>
      <c r="M92" s="126" t="str">
        <f t="shared" si="3"/>
        <v>□</v>
      </c>
      <c r="N92" s="126"/>
      <c r="O92" s="126" t="s">
        <v>51</v>
      </c>
      <c r="P92" s="126" t="s">
        <v>51</v>
      </c>
      <c r="Q92" s="127" t="s">
        <v>414</v>
      </c>
    </row>
    <row r="93" spans="1:17" ht="57">
      <c r="A93" s="126">
        <v>93</v>
      </c>
      <c r="B93" s="127" t="s">
        <v>56</v>
      </c>
      <c r="C93" s="127" t="s">
        <v>441</v>
      </c>
      <c r="D93" s="126" t="s">
        <v>50</v>
      </c>
      <c r="E93" s="126" t="s">
        <v>52</v>
      </c>
      <c r="F93" s="128" t="s">
        <v>1068</v>
      </c>
      <c r="G93" s="127"/>
      <c r="H93" s="127" t="s">
        <v>51</v>
      </c>
      <c r="I93" s="129" t="s">
        <v>53</v>
      </c>
      <c r="J93" s="126"/>
      <c r="K93" s="127" t="s">
        <v>71</v>
      </c>
      <c r="L93" s="127" t="s">
        <v>106</v>
      </c>
      <c r="M93" s="126" t="str">
        <f t="shared" ref="M93:M96" si="4">HYPERLINK(Q93,"□")</f>
        <v>□</v>
      </c>
      <c r="N93" s="126"/>
      <c r="O93" s="126" t="s">
        <v>51</v>
      </c>
      <c r="P93" s="126" t="s">
        <v>51</v>
      </c>
      <c r="Q93" s="127" t="s">
        <v>414</v>
      </c>
    </row>
    <row r="94" spans="1:17" ht="57">
      <c r="A94" s="126">
        <v>94</v>
      </c>
      <c r="B94" s="127" t="s">
        <v>56</v>
      </c>
      <c r="C94" s="127" t="s">
        <v>444</v>
      </c>
      <c r="D94" s="126" t="s">
        <v>50</v>
      </c>
      <c r="E94" s="126" t="s">
        <v>52</v>
      </c>
      <c r="F94" s="128" t="s">
        <v>1069</v>
      </c>
      <c r="G94" s="127"/>
      <c r="H94" s="127" t="s">
        <v>51</v>
      </c>
      <c r="I94" s="129" t="s">
        <v>53</v>
      </c>
      <c r="J94" s="126"/>
      <c r="K94" s="127" t="s">
        <v>71</v>
      </c>
      <c r="L94" s="127" t="s">
        <v>106</v>
      </c>
      <c r="M94" s="126" t="str">
        <f t="shared" si="4"/>
        <v>□</v>
      </c>
      <c r="N94" s="126"/>
      <c r="O94" s="126" t="s">
        <v>51</v>
      </c>
      <c r="P94" s="126" t="s">
        <v>51</v>
      </c>
      <c r="Q94" s="127" t="s">
        <v>414</v>
      </c>
    </row>
    <row r="95" spans="1:17" ht="42.75">
      <c r="A95" s="126">
        <v>95</v>
      </c>
      <c r="B95" s="127" t="s">
        <v>56</v>
      </c>
      <c r="C95" s="127" t="s">
        <v>447</v>
      </c>
      <c r="D95" s="126" t="s">
        <v>50</v>
      </c>
      <c r="E95" s="126" t="s">
        <v>52</v>
      </c>
      <c r="F95" s="128" t="s">
        <v>1070</v>
      </c>
      <c r="G95" s="127"/>
      <c r="H95" s="127" t="s">
        <v>51</v>
      </c>
      <c r="I95" s="129" t="s">
        <v>53</v>
      </c>
      <c r="J95" s="126"/>
      <c r="K95" s="127" t="s">
        <v>71</v>
      </c>
      <c r="L95" s="127" t="s">
        <v>106</v>
      </c>
      <c r="M95" s="126" t="str">
        <f t="shared" si="4"/>
        <v>□</v>
      </c>
      <c r="N95" s="126"/>
      <c r="O95" s="126" t="s">
        <v>51</v>
      </c>
      <c r="P95" s="126" t="s">
        <v>51</v>
      </c>
      <c r="Q95" s="127" t="s">
        <v>414</v>
      </c>
    </row>
    <row r="96" spans="1:17" ht="57">
      <c r="A96" s="126">
        <v>96</v>
      </c>
      <c r="B96" s="127" t="s">
        <v>56</v>
      </c>
      <c r="C96" s="127" t="s">
        <v>450</v>
      </c>
      <c r="D96" s="126" t="s">
        <v>50</v>
      </c>
      <c r="E96" s="126" t="s">
        <v>52</v>
      </c>
      <c r="F96" s="128" t="s">
        <v>1071</v>
      </c>
      <c r="G96" s="127"/>
      <c r="H96" s="127" t="s">
        <v>51</v>
      </c>
      <c r="I96" s="129" t="s">
        <v>53</v>
      </c>
      <c r="J96" s="126"/>
      <c r="K96" s="127" t="s">
        <v>71</v>
      </c>
      <c r="L96" s="127" t="s">
        <v>106</v>
      </c>
      <c r="M96" s="126" t="str">
        <f t="shared" si="4"/>
        <v>□</v>
      </c>
      <c r="N96" s="126"/>
      <c r="O96" s="126" t="s">
        <v>51</v>
      </c>
      <c r="P96" s="126" t="s">
        <v>51</v>
      </c>
      <c r="Q96" s="127" t="s">
        <v>414</v>
      </c>
    </row>
    <row r="97" spans="1:17" ht="57">
      <c r="A97" s="126">
        <v>97</v>
      </c>
      <c r="B97" s="127" t="s">
        <v>56</v>
      </c>
      <c r="C97" s="127" t="s">
        <v>453</v>
      </c>
      <c r="D97" s="126" t="s">
        <v>50</v>
      </c>
      <c r="E97" s="126" t="s">
        <v>52</v>
      </c>
      <c r="F97" s="128" t="s">
        <v>1072</v>
      </c>
      <c r="G97" s="127"/>
      <c r="H97" s="127" t="s">
        <v>51</v>
      </c>
      <c r="I97" s="129" t="s">
        <v>53</v>
      </c>
      <c r="J97" s="126"/>
      <c r="K97" s="127" t="s">
        <v>71</v>
      </c>
      <c r="L97" s="127" t="s">
        <v>106</v>
      </c>
      <c r="M97" s="126" t="str">
        <f t="shared" si="3"/>
        <v>□</v>
      </c>
      <c r="N97" s="126"/>
      <c r="O97" s="126" t="s">
        <v>51</v>
      </c>
      <c r="P97" s="126" t="s">
        <v>51</v>
      </c>
      <c r="Q97" s="127" t="s">
        <v>414</v>
      </c>
    </row>
    <row r="98" spans="1:17" ht="42.75">
      <c r="A98" s="126">
        <v>98</v>
      </c>
      <c r="B98" s="127" t="s">
        <v>56</v>
      </c>
      <c r="C98" s="127" t="s">
        <v>456</v>
      </c>
      <c r="D98" s="126" t="s">
        <v>50</v>
      </c>
      <c r="E98" s="126" t="s">
        <v>52</v>
      </c>
      <c r="F98" s="128" t="s">
        <v>1073</v>
      </c>
      <c r="G98" s="127"/>
      <c r="H98" s="127" t="s">
        <v>51</v>
      </c>
      <c r="I98" s="129" t="s">
        <v>53</v>
      </c>
      <c r="J98" s="126"/>
      <c r="K98" s="127" t="s">
        <v>71</v>
      </c>
      <c r="L98" s="127" t="s">
        <v>106</v>
      </c>
      <c r="M98" s="126" t="str">
        <f t="shared" si="3"/>
        <v>□</v>
      </c>
      <c r="N98" s="126"/>
      <c r="O98" s="126" t="s">
        <v>51</v>
      </c>
      <c r="P98" s="126" t="s">
        <v>51</v>
      </c>
      <c r="Q98" s="127" t="s">
        <v>414</v>
      </c>
    </row>
    <row r="99" spans="1:17" ht="57">
      <c r="A99" s="126">
        <v>99</v>
      </c>
      <c r="B99" s="127" t="s">
        <v>56</v>
      </c>
      <c r="C99" s="127" t="s">
        <v>459</v>
      </c>
      <c r="D99" s="126" t="s">
        <v>50</v>
      </c>
      <c r="E99" s="126" t="s">
        <v>52</v>
      </c>
      <c r="F99" s="128" t="s">
        <v>1074</v>
      </c>
      <c r="G99" s="127"/>
      <c r="H99" s="127" t="s">
        <v>51</v>
      </c>
      <c r="I99" s="129" t="s">
        <v>53</v>
      </c>
      <c r="J99" s="126"/>
      <c r="K99" s="127" t="s">
        <v>71</v>
      </c>
      <c r="L99" s="127" t="s">
        <v>106</v>
      </c>
      <c r="M99" s="126" t="str">
        <f t="shared" si="2"/>
        <v>□</v>
      </c>
      <c r="N99" s="126"/>
      <c r="O99" s="126" t="s">
        <v>51</v>
      </c>
      <c r="P99" s="126" t="s">
        <v>51</v>
      </c>
      <c r="Q99" s="127" t="s">
        <v>414</v>
      </c>
    </row>
    <row r="100" spans="1:17" ht="57">
      <c r="A100" s="126">
        <v>100</v>
      </c>
      <c r="B100" s="127" t="s">
        <v>56</v>
      </c>
      <c r="C100" s="127" t="s">
        <v>462</v>
      </c>
      <c r="D100" s="126" t="s">
        <v>50</v>
      </c>
      <c r="E100" s="126" t="s">
        <v>52</v>
      </c>
      <c r="F100" s="128" t="s">
        <v>1075</v>
      </c>
      <c r="G100" s="127"/>
      <c r="H100" s="127" t="s">
        <v>51</v>
      </c>
      <c r="I100" s="129" t="s">
        <v>53</v>
      </c>
      <c r="J100" s="126"/>
      <c r="K100" s="127" t="s">
        <v>71</v>
      </c>
      <c r="L100" s="127" t="s">
        <v>106</v>
      </c>
      <c r="M100" s="126" t="str">
        <f t="shared" ref="M100" si="5">HYPERLINK(Q100,"□")</f>
        <v>□</v>
      </c>
      <c r="N100" s="126"/>
      <c r="O100" s="126" t="s">
        <v>51</v>
      </c>
      <c r="P100" s="126" t="s">
        <v>51</v>
      </c>
      <c r="Q100" s="127" t="s">
        <v>414</v>
      </c>
    </row>
    <row r="101" spans="1:17" ht="42.75">
      <c r="A101" s="126">
        <v>101</v>
      </c>
      <c r="B101" s="127" t="s">
        <v>56</v>
      </c>
      <c r="C101" s="127" t="s">
        <v>199</v>
      </c>
      <c r="D101" s="126" t="s">
        <v>50</v>
      </c>
      <c r="E101" s="126" t="s">
        <v>52</v>
      </c>
      <c r="F101" s="128" t="s">
        <v>1076</v>
      </c>
      <c r="G101" s="127"/>
      <c r="H101" s="127" t="s">
        <v>51</v>
      </c>
      <c r="I101" s="129" t="s">
        <v>53</v>
      </c>
      <c r="J101" s="126"/>
      <c r="K101" s="127" t="s">
        <v>71</v>
      </c>
      <c r="L101" s="127" t="s">
        <v>106</v>
      </c>
      <c r="M101" s="126" t="str">
        <f t="shared" si="2"/>
        <v>□</v>
      </c>
      <c r="N101" s="126"/>
      <c r="O101" s="126" t="s">
        <v>51</v>
      </c>
      <c r="P101" s="126" t="s">
        <v>51</v>
      </c>
      <c r="Q101" s="127" t="s">
        <v>419</v>
      </c>
    </row>
    <row r="102" spans="1:17" ht="57">
      <c r="A102" s="126">
        <v>102</v>
      </c>
      <c r="B102" s="127" t="s">
        <v>56</v>
      </c>
      <c r="C102" s="127" t="s">
        <v>467</v>
      </c>
      <c r="D102" s="126" t="s">
        <v>50</v>
      </c>
      <c r="E102" s="126" t="s">
        <v>52</v>
      </c>
      <c r="F102" s="128" t="s">
        <v>1077</v>
      </c>
      <c r="G102" s="127"/>
      <c r="H102" s="127" t="s">
        <v>51</v>
      </c>
      <c r="I102" s="129" t="s">
        <v>53</v>
      </c>
      <c r="J102" s="126"/>
      <c r="K102" s="127" t="s">
        <v>71</v>
      </c>
      <c r="L102" s="127" t="s">
        <v>106</v>
      </c>
      <c r="M102" s="126" t="str">
        <f t="shared" si="2"/>
        <v>□</v>
      </c>
      <c r="N102" s="126"/>
      <c r="O102" s="126" t="s">
        <v>51</v>
      </c>
      <c r="P102" s="126" t="s">
        <v>51</v>
      </c>
      <c r="Q102" s="127" t="s">
        <v>422</v>
      </c>
    </row>
    <row r="103" spans="1:17" ht="57">
      <c r="A103" s="126">
        <v>103</v>
      </c>
      <c r="B103" s="127" t="s">
        <v>56</v>
      </c>
      <c r="C103" s="127" t="s">
        <v>470</v>
      </c>
      <c r="D103" s="126" t="s">
        <v>50</v>
      </c>
      <c r="E103" s="126" t="s">
        <v>52</v>
      </c>
      <c r="F103" s="128" t="s">
        <v>1078</v>
      </c>
      <c r="G103" s="127"/>
      <c r="H103" s="127" t="s">
        <v>51</v>
      </c>
      <c r="I103" s="129" t="s">
        <v>53</v>
      </c>
      <c r="J103" s="126"/>
      <c r="K103" s="127" t="s">
        <v>71</v>
      </c>
      <c r="L103" s="127" t="s">
        <v>106</v>
      </c>
      <c r="M103" s="126" t="str">
        <f t="shared" si="2"/>
        <v>□</v>
      </c>
      <c r="N103" s="126"/>
      <c r="O103" s="126" t="s">
        <v>51</v>
      </c>
      <c r="P103" s="126" t="s">
        <v>51</v>
      </c>
      <c r="Q103" s="127" t="s">
        <v>425</v>
      </c>
    </row>
    <row r="104" spans="1:17" ht="57">
      <c r="A104" s="126">
        <v>104</v>
      </c>
      <c r="B104" s="127" t="s">
        <v>56</v>
      </c>
      <c r="C104" s="127" t="s">
        <v>1079</v>
      </c>
      <c r="D104" s="126" t="s">
        <v>50</v>
      </c>
      <c r="E104" s="126" t="s">
        <v>52</v>
      </c>
      <c r="F104" s="128" t="s">
        <v>1080</v>
      </c>
      <c r="G104" s="127"/>
      <c r="H104" s="127" t="s">
        <v>51</v>
      </c>
      <c r="I104" s="129" t="s">
        <v>53</v>
      </c>
      <c r="J104" s="126"/>
      <c r="K104" s="127" t="s">
        <v>71</v>
      </c>
      <c r="L104" s="127" t="s">
        <v>106</v>
      </c>
      <c r="M104" s="126" t="str">
        <f t="shared" si="2"/>
        <v>□</v>
      </c>
      <c r="N104" s="126"/>
      <c r="O104" s="126" t="s">
        <v>51</v>
      </c>
      <c r="P104" s="126" t="s">
        <v>51</v>
      </c>
      <c r="Q104" s="127" t="s">
        <v>428</v>
      </c>
    </row>
    <row r="105" spans="1:17" ht="57">
      <c r="A105" s="126">
        <v>105</v>
      </c>
      <c r="B105" s="127" t="s">
        <v>56</v>
      </c>
      <c r="C105" s="127" t="s">
        <v>1081</v>
      </c>
      <c r="D105" s="126" t="s">
        <v>50</v>
      </c>
      <c r="E105" s="126" t="s">
        <v>52</v>
      </c>
      <c r="F105" s="128" t="s">
        <v>1082</v>
      </c>
      <c r="G105" s="127"/>
      <c r="H105" s="127" t="s">
        <v>51</v>
      </c>
      <c r="I105" s="129" t="s">
        <v>53</v>
      </c>
      <c r="J105" s="126"/>
      <c r="K105" s="127" t="s">
        <v>71</v>
      </c>
      <c r="L105" s="127" t="s">
        <v>106</v>
      </c>
      <c r="M105" s="126" t="str">
        <f t="shared" si="2"/>
        <v>□</v>
      </c>
      <c r="N105" s="126"/>
      <c r="O105" s="126" t="s">
        <v>51</v>
      </c>
      <c r="P105" s="126" t="s">
        <v>51</v>
      </c>
      <c r="Q105" s="127" t="s">
        <v>431</v>
      </c>
    </row>
    <row r="106" spans="1:17" ht="42.75">
      <c r="A106" s="126">
        <v>106</v>
      </c>
      <c r="B106" s="127" t="s">
        <v>56</v>
      </c>
      <c r="C106" s="127" t="s">
        <v>1083</v>
      </c>
      <c r="D106" s="126" t="s">
        <v>50</v>
      </c>
      <c r="E106" s="126" t="s">
        <v>52</v>
      </c>
      <c r="F106" s="128" t="s">
        <v>1084</v>
      </c>
      <c r="G106" s="127"/>
      <c r="H106" s="127" t="s">
        <v>51</v>
      </c>
      <c r="I106" s="129" t="s">
        <v>53</v>
      </c>
      <c r="J106" s="126"/>
      <c r="K106" s="127" t="s">
        <v>71</v>
      </c>
      <c r="L106" s="127" t="s">
        <v>106</v>
      </c>
      <c r="M106" s="126" t="str">
        <f t="shared" si="2"/>
        <v>□</v>
      </c>
      <c r="N106" s="126"/>
      <c r="O106" s="126" t="s">
        <v>51</v>
      </c>
      <c r="P106" s="126" t="s">
        <v>51</v>
      </c>
      <c r="Q106" s="127" t="s">
        <v>434</v>
      </c>
    </row>
    <row r="107" spans="1:17" ht="57">
      <c r="A107" s="126">
        <v>107</v>
      </c>
      <c r="B107" s="127" t="s">
        <v>56</v>
      </c>
      <c r="C107" s="127" t="s">
        <v>1085</v>
      </c>
      <c r="D107" s="126" t="s">
        <v>50</v>
      </c>
      <c r="E107" s="126" t="s">
        <v>52</v>
      </c>
      <c r="F107" s="128" t="s">
        <v>1086</v>
      </c>
      <c r="G107" s="127"/>
      <c r="H107" s="127" t="s">
        <v>51</v>
      </c>
      <c r="I107" s="129" t="s">
        <v>53</v>
      </c>
      <c r="J107" s="126"/>
      <c r="K107" s="127" t="s">
        <v>71</v>
      </c>
      <c r="L107" s="127" t="s">
        <v>106</v>
      </c>
      <c r="M107" s="126" t="str">
        <f t="shared" si="2"/>
        <v>□</v>
      </c>
      <c r="N107" s="126"/>
      <c r="O107" s="126" t="s">
        <v>51</v>
      </c>
      <c r="P107" s="126" t="s">
        <v>51</v>
      </c>
      <c r="Q107" s="127" t="s">
        <v>437</v>
      </c>
    </row>
    <row r="108" spans="1:17" ht="57">
      <c r="A108" s="126">
        <v>108</v>
      </c>
      <c r="B108" s="127" t="s">
        <v>56</v>
      </c>
      <c r="C108" s="127" t="s">
        <v>1087</v>
      </c>
      <c r="D108" s="126" t="s">
        <v>50</v>
      </c>
      <c r="E108" s="126" t="s">
        <v>52</v>
      </c>
      <c r="F108" s="128" t="s">
        <v>1088</v>
      </c>
      <c r="G108" s="127"/>
      <c r="H108" s="127" t="s">
        <v>51</v>
      </c>
      <c r="I108" s="129" t="s">
        <v>53</v>
      </c>
      <c r="J108" s="126"/>
      <c r="K108" s="127" t="s">
        <v>71</v>
      </c>
      <c r="L108" s="127" t="s">
        <v>106</v>
      </c>
      <c r="M108" s="126" t="str">
        <f t="shared" si="2"/>
        <v>□</v>
      </c>
      <c r="N108" s="126"/>
      <c r="O108" s="126" t="s">
        <v>51</v>
      </c>
      <c r="P108" s="126" t="s">
        <v>51</v>
      </c>
      <c r="Q108" s="127" t="s">
        <v>440</v>
      </c>
    </row>
    <row r="109" spans="1:17" ht="57">
      <c r="A109" s="126">
        <v>109</v>
      </c>
      <c r="B109" s="127" t="s">
        <v>56</v>
      </c>
      <c r="C109" s="127" t="s">
        <v>1089</v>
      </c>
      <c r="D109" s="126" t="s">
        <v>50</v>
      </c>
      <c r="E109" s="126" t="s">
        <v>52</v>
      </c>
      <c r="F109" s="128" t="s">
        <v>1090</v>
      </c>
      <c r="G109" s="127"/>
      <c r="H109" s="127" t="s">
        <v>51</v>
      </c>
      <c r="I109" s="129" t="s">
        <v>53</v>
      </c>
      <c r="J109" s="126"/>
      <c r="K109" s="127" t="s">
        <v>71</v>
      </c>
      <c r="L109" s="127" t="s">
        <v>106</v>
      </c>
      <c r="M109" s="126" t="str">
        <f t="shared" si="2"/>
        <v>□</v>
      </c>
      <c r="N109" s="126"/>
      <c r="O109" s="126" t="s">
        <v>51</v>
      </c>
      <c r="P109" s="126" t="s">
        <v>51</v>
      </c>
      <c r="Q109" s="127" t="s">
        <v>443</v>
      </c>
    </row>
    <row r="110" spans="1:17" ht="57">
      <c r="A110" s="126">
        <v>110</v>
      </c>
      <c r="B110" s="127" t="s">
        <v>56</v>
      </c>
      <c r="C110" s="127" t="s">
        <v>1091</v>
      </c>
      <c r="D110" s="126" t="s">
        <v>50</v>
      </c>
      <c r="E110" s="126" t="s">
        <v>52</v>
      </c>
      <c r="F110" s="128" t="s">
        <v>1092</v>
      </c>
      <c r="G110" s="127"/>
      <c r="H110" s="127" t="s">
        <v>51</v>
      </c>
      <c r="I110" s="129" t="s">
        <v>53</v>
      </c>
      <c r="J110" s="126"/>
      <c r="K110" s="127" t="s">
        <v>71</v>
      </c>
      <c r="L110" s="127" t="s">
        <v>106</v>
      </c>
      <c r="M110" s="126" t="str">
        <f t="shared" si="2"/>
        <v>□</v>
      </c>
      <c r="N110" s="126"/>
      <c r="O110" s="126" t="s">
        <v>51</v>
      </c>
      <c r="P110" s="126" t="s">
        <v>51</v>
      </c>
      <c r="Q110" s="127" t="s">
        <v>446</v>
      </c>
    </row>
    <row r="111" spans="1:17" ht="42.75">
      <c r="A111" s="126">
        <v>111</v>
      </c>
      <c r="B111" s="127" t="s">
        <v>56</v>
      </c>
      <c r="C111" s="127" t="s">
        <v>1093</v>
      </c>
      <c r="D111" s="126" t="s">
        <v>50</v>
      </c>
      <c r="E111" s="126" t="s">
        <v>52</v>
      </c>
      <c r="F111" s="128" t="s">
        <v>1094</v>
      </c>
      <c r="G111" s="127"/>
      <c r="H111" s="127" t="s">
        <v>51</v>
      </c>
      <c r="I111" s="129" t="s">
        <v>53</v>
      </c>
      <c r="J111" s="126"/>
      <c r="K111" s="127" t="s">
        <v>71</v>
      </c>
      <c r="L111" s="127" t="s">
        <v>106</v>
      </c>
      <c r="M111" s="126" t="str">
        <f t="shared" si="2"/>
        <v>□</v>
      </c>
      <c r="N111" s="126"/>
      <c r="O111" s="126" t="s">
        <v>51</v>
      </c>
      <c r="P111" s="126" t="s">
        <v>51</v>
      </c>
      <c r="Q111" s="127" t="s">
        <v>449</v>
      </c>
    </row>
    <row r="112" spans="1:17" ht="42.75">
      <c r="A112" s="126">
        <v>112</v>
      </c>
      <c r="B112" s="127" t="s">
        <v>56</v>
      </c>
      <c r="C112" s="127" t="s">
        <v>1095</v>
      </c>
      <c r="D112" s="126" t="s">
        <v>50</v>
      </c>
      <c r="E112" s="126" t="s">
        <v>52</v>
      </c>
      <c r="F112" s="128" t="s">
        <v>1096</v>
      </c>
      <c r="G112" s="127"/>
      <c r="H112" s="127" t="s">
        <v>51</v>
      </c>
      <c r="I112" s="129" t="s">
        <v>53</v>
      </c>
      <c r="J112" s="126"/>
      <c r="K112" s="127" t="s">
        <v>71</v>
      </c>
      <c r="L112" s="127" t="s">
        <v>106</v>
      </c>
      <c r="M112" s="126" t="str">
        <f t="shared" si="2"/>
        <v>□</v>
      </c>
      <c r="N112" s="126"/>
      <c r="O112" s="126" t="s">
        <v>51</v>
      </c>
      <c r="P112" s="126" t="s">
        <v>51</v>
      </c>
      <c r="Q112" s="127" t="s">
        <v>452</v>
      </c>
    </row>
    <row r="113" spans="1:17" ht="42.75">
      <c r="A113" s="126">
        <v>113</v>
      </c>
      <c r="B113" s="127" t="s">
        <v>56</v>
      </c>
      <c r="C113" s="127" t="s">
        <v>1097</v>
      </c>
      <c r="D113" s="126" t="s">
        <v>50</v>
      </c>
      <c r="E113" s="126" t="s">
        <v>52</v>
      </c>
      <c r="F113" s="128" t="s">
        <v>1098</v>
      </c>
      <c r="G113" s="127"/>
      <c r="H113" s="127" t="s">
        <v>51</v>
      </c>
      <c r="I113" s="129" t="s">
        <v>53</v>
      </c>
      <c r="J113" s="126"/>
      <c r="K113" s="127" t="s">
        <v>71</v>
      </c>
      <c r="L113" s="127" t="s">
        <v>106</v>
      </c>
      <c r="M113" s="126" t="str">
        <f t="shared" si="2"/>
        <v>□</v>
      </c>
      <c r="N113" s="126"/>
      <c r="O113" s="126" t="s">
        <v>51</v>
      </c>
      <c r="P113" s="126" t="s">
        <v>51</v>
      </c>
      <c r="Q113" s="127" t="s">
        <v>455</v>
      </c>
    </row>
    <row r="114" spans="1:17" ht="42.75">
      <c r="A114" s="126">
        <v>114</v>
      </c>
      <c r="B114" s="127" t="s">
        <v>56</v>
      </c>
      <c r="C114" s="127" t="s">
        <v>1099</v>
      </c>
      <c r="D114" s="126" t="s">
        <v>50</v>
      </c>
      <c r="E114" s="126" t="s">
        <v>52</v>
      </c>
      <c r="F114" s="128" t="s">
        <v>1100</v>
      </c>
      <c r="G114" s="127"/>
      <c r="H114" s="127" t="s">
        <v>51</v>
      </c>
      <c r="I114" s="129" t="s">
        <v>53</v>
      </c>
      <c r="J114" s="126"/>
      <c r="K114" s="127" t="s">
        <v>71</v>
      </c>
      <c r="L114" s="127" t="s">
        <v>106</v>
      </c>
      <c r="M114" s="126" t="str">
        <f t="shared" si="2"/>
        <v>□</v>
      </c>
      <c r="N114" s="126"/>
      <c r="O114" s="126" t="s">
        <v>51</v>
      </c>
      <c r="P114" s="126" t="s">
        <v>51</v>
      </c>
      <c r="Q114" s="127" t="s">
        <v>458</v>
      </c>
    </row>
    <row r="115" spans="1:17" ht="42.75">
      <c r="A115" s="126">
        <v>115</v>
      </c>
      <c r="B115" s="127" t="s">
        <v>56</v>
      </c>
      <c r="C115" s="127" t="s">
        <v>1101</v>
      </c>
      <c r="D115" s="126" t="s">
        <v>50</v>
      </c>
      <c r="E115" s="126" t="s">
        <v>52</v>
      </c>
      <c r="F115" s="128" t="s">
        <v>1102</v>
      </c>
      <c r="G115" s="127"/>
      <c r="H115" s="127" t="s">
        <v>51</v>
      </c>
      <c r="I115" s="129" t="s">
        <v>53</v>
      </c>
      <c r="J115" s="126"/>
      <c r="K115" s="127" t="s">
        <v>71</v>
      </c>
      <c r="L115" s="127" t="s">
        <v>106</v>
      </c>
      <c r="M115" s="126" t="str">
        <f t="shared" si="2"/>
        <v>□</v>
      </c>
      <c r="N115" s="126"/>
      <c r="O115" s="126" t="s">
        <v>51</v>
      </c>
      <c r="P115" s="126" t="s">
        <v>51</v>
      </c>
      <c r="Q115" s="127" t="s">
        <v>461</v>
      </c>
    </row>
    <row r="116" spans="1:17" ht="42.75">
      <c r="A116" s="126">
        <v>116</v>
      </c>
      <c r="B116" s="127" t="s">
        <v>56</v>
      </c>
      <c r="C116" s="127" t="s">
        <v>1103</v>
      </c>
      <c r="D116" s="126" t="s">
        <v>50</v>
      </c>
      <c r="E116" s="126" t="s">
        <v>52</v>
      </c>
      <c r="F116" s="128" t="s">
        <v>1104</v>
      </c>
      <c r="G116" s="127"/>
      <c r="H116" s="127" t="s">
        <v>51</v>
      </c>
      <c r="I116" s="129" t="s">
        <v>53</v>
      </c>
      <c r="J116" s="126"/>
      <c r="K116" s="127" t="s">
        <v>71</v>
      </c>
      <c r="L116" s="127" t="s">
        <v>106</v>
      </c>
      <c r="M116" s="126" t="str">
        <f t="shared" si="2"/>
        <v>□</v>
      </c>
      <c r="N116" s="126"/>
      <c r="O116" s="126" t="s">
        <v>51</v>
      </c>
      <c r="P116" s="126" t="s">
        <v>51</v>
      </c>
      <c r="Q116" s="127" t="s">
        <v>464</v>
      </c>
    </row>
    <row r="117" spans="1:17" ht="42.75">
      <c r="A117" s="126">
        <v>117</v>
      </c>
      <c r="B117" s="127" t="s">
        <v>56</v>
      </c>
      <c r="C117" s="127" t="s">
        <v>1105</v>
      </c>
      <c r="D117" s="126" t="s">
        <v>50</v>
      </c>
      <c r="E117" s="126" t="s">
        <v>52</v>
      </c>
      <c r="F117" s="128" t="s">
        <v>1106</v>
      </c>
      <c r="G117" s="127"/>
      <c r="H117" s="127" t="s">
        <v>51</v>
      </c>
      <c r="I117" s="129" t="s">
        <v>53</v>
      </c>
      <c r="J117" s="126"/>
      <c r="K117" s="127" t="s">
        <v>71</v>
      </c>
      <c r="L117" s="127" t="s">
        <v>106</v>
      </c>
      <c r="M117" s="126" t="str">
        <f t="shared" si="2"/>
        <v>□</v>
      </c>
      <c r="N117" s="126"/>
      <c r="O117" s="126" t="s">
        <v>51</v>
      </c>
      <c r="P117" s="126" t="s">
        <v>51</v>
      </c>
      <c r="Q117" s="127" t="s">
        <v>466</v>
      </c>
    </row>
    <row r="118" spans="1:17" ht="42.75">
      <c r="A118" s="126">
        <v>118</v>
      </c>
      <c r="B118" s="127" t="s">
        <v>56</v>
      </c>
      <c r="C118" s="127" t="s">
        <v>1107</v>
      </c>
      <c r="D118" s="126" t="s">
        <v>50</v>
      </c>
      <c r="E118" s="126" t="s">
        <v>52</v>
      </c>
      <c r="F118" s="128" t="s">
        <v>1108</v>
      </c>
      <c r="G118" s="127"/>
      <c r="H118" s="127" t="s">
        <v>51</v>
      </c>
      <c r="I118" s="129" t="s">
        <v>53</v>
      </c>
      <c r="J118" s="126"/>
      <c r="K118" s="127" t="s">
        <v>71</v>
      </c>
      <c r="L118" s="127" t="s">
        <v>106</v>
      </c>
      <c r="M118" s="126" t="str">
        <f t="shared" si="2"/>
        <v>□</v>
      </c>
      <c r="N118" s="126"/>
      <c r="O118" s="126" t="s">
        <v>51</v>
      </c>
      <c r="P118" s="126" t="s">
        <v>51</v>
      </c>
      <c r="Q118" s="127" t="s">
        <v>469</v>
      </c>
    </row>
    <row r="119" spans="1:17" ht="42.75">
      <c r="A119" s="126">
        <v>119</v>
      </c>
      <c r="B119" s="127" t="s">
        <v>56</v>
      </c>
      <c r="C119" s="127" t="s">
        <v>1109</v>
      </c>
      <c r="D119" s="126" t="s">
        <v>50</v>
      </c>
      <c r="E119" s="126" t="s">
        <v>52</v>
      </c>
      <c r="F119" s="128" t="s">
        <v>1110</v>
      </c>
      <c r="G119" s="127"/>
      <c r="H119" s="127" t="s">
        <v>51</v>
      </c>
      <c r="I119" s="129" t="s">
        <v>53</v>
      </c>
      <c r="J119" s="126"/>
      <c r="K119" s="127" t="s">
        <v>71</v>
      </c>
      <c r="L119" s="127" t="s">
        <v>106</v>
      </c>
      <c r="M119" s="126" t="str">
        <f t="shared" si="2"/>
        <v>□</v>
      </c>
      <c r="N119" s="126"/>
      <c r="O119" s="126" t="s">
        <v>51</v>
      </c>
      <c r="P119" s="126" t="s">
        <v>51</v>
      </c>
      <c r="Q119" s="127" t="s">
        <v>472</v>
      </c>
    </row>
    <row r="120" spans="1:17" s="158" customFormat="1" ht="42.75">
      <c r="A120" s="126">
        <v>134</v>
      </c>
      <c r="B120" s="155" t="s">
        <v>474</v>
      </c>
      <c r="C120" s="155" t="s">
        <v>70</v>
      </c>
      <c r="D120" s="154" t="s">
        <v>50</v>
      </c>
      <c r="E120" s="154" t="s">
        <v>475</v>
      </c>
      <c r="F120" s="156" t="s">
        <v>824</v>
      </c>
      <c r="G120" s="155"/>
      <c r="H120" s="155" t="s">
        <v>51</v>
      </c>
      <c r="I120" s="157" t="s">
        <v>476</v>
      </c>
      <c r="J120" s="154" t="s">
        <v>51</v>
      </c>
      <c r="K120" s="155" t="s">
        <v>205</v>
      </c>
      <c r="L120" s="155"/>
      <c r="M120" s="154" t="str">
        <f t="shared" si="2"/>
        <v>□</v>
      </c>
      <c r="N120" s="154"/>
      <c r="O120" s="154" t="s">
        <v>51</v>
      </c>
      <c r="P120" s="154" t="s">
        <v>51</v>
      </c>
      <c r="Q120" s="155" t="s">
        <v>473</v>
      </c>
    </row>
    <row r="121" spans="1:17" s="158" customFormat="1" ht="42.75">
      <c r="A121" s="126">
        <v>135</v>
      </c>
      <c r="B121" s="155" t="s">
        <v>474</v>
      </c>
      <c r="C121" s="155" t="s">
        <v>68</v>
      </c>
      <c r="D121" s="154" t="s">
        <v>50</v>
      </c>
      <c r="E121" s="154" t="s">
        <v>475</v>
      </c>
      <c r="F121" s="156" t="s">
        <v>828</v>
      </c>
      <c r="G121" s="155"/>
      <c r="H121" s="155" t="s">
        <v>51</v>
      </c>
      <c r="I121" s="157" t="s">
        <v>476</v>
      </c>
      <c r="J121" s="154" t="s">
        <v>51</v>
      </c>
      <c r="K121" s="155" t="s">
        <v>205</v>
      </c>
      <c r="L121" s="155"/>
      <c r="M121" s="154" t="str">
        <f t="shared" si="2"/>
        <v>□</v>
      </c>
      <c r="N121" s="154"/>
      <c r="O121" s="154" t="s">
        <v>51</v>
      </c>
      <c r="P121" s="154" t="s">
        <v>51</v>
      </c>
      <c r="Q121" s="155" t="s">
        <v>477</v>
      </c>
    </row>
    <row r="122" spans="1:17" s="158" customFormat="1" ht="42.75">
      <c r="A122" s="126">
        <v>136</v>
      </c>
      <c r="B122" s="155" t="s">
        <v>474</v>
      </c>
      <c r="C122" s="155" t="s">
        <v>69</v>
      </c>
      <c r="D122" s="154" t="s">
        <v>50</v>
      </c>
      <c r="E122" s="154" t="s">
        <v>475</v>
      </c>
      <c r="F122" s="156" t="s">
        <v>833</v>
      </c>
      <c r="G122" s="155"/>
      <c r="H122" s="155" t="s">
        <v>51</v>
      </c>
      <c r="I122" s="157" t="s">
        <v>476</v>
      </c>
      <c r="J122" s="154" t="s">
        <v>51</v>
      </c>
      <c r="K122" s="155" t="s">
        <v>205</v>
      </c>
      <c r="L122" s="155"/>
      <c r="M122" s="154" t="str">
        <f t="shared" si="2"/>
        <v>□</v>
      </c>
      <c r="N122" s="154"/>
      <c r="O122" s="154" t="s">
        <v>51</v>
      </c>
      <c r="P122" s="154" t="s">
        <v>51</v>
      </c>
      <c r="Q122" s="155" t="s">
        <v>478</v>
      </c>
    </row>
    <row r="123" spans="1:17" s="158" customFormat="1" ht="42.75">
      <c r="A123" s="126">
        <v>137</v>
      </c>
      <c r="B123" s="155" t="s">
        <v>474</v>
      </c>
      <c r="C123" s="155" t="s">
        <v>72</v>
      </c>
      <c r="D123" s="154" t="s">
        <v>50</v>
      </c>
      <c r="E123" s="154" t="s">
        <v>475</v>
      </c>
      <c r="F123" s="156" t="s">
        <v>837</v>
      </c>
      <c r="G123" s="155"/>
      <c r="H123" s="155" t="s">
        <v>51</v>
      </c>
      <c r="I123" s="157" t="s">
        <v>476</v>
      </c>
      <c r="J123" s="154" t="s">
        <v>51</v>
      </c>
      <c r="K123" s="155" t="s">
        <v>205</v>
      </c>
      <c r="L123" s="155"/>
      <c r="M123" s="154" t="str">
        <f t="shared" si="2"/>
        <v>□</v>
      </c>
      <c r="N123" s="154"/>
      <c r="O123" s="154" t="s">
        <v>51</v>
      </c>
      <c r="P123" s="154" t="s">
        <v>51</v>
      </c>
      <c r="Q123" s="155" t="s">
        <v>488</v>
      </c>
    </row>
    <row r="124" spans="1:17" s="158" customFormat="1" ht="42.75">
      <c r="A124" s="126">
        <v>138</v>
      </c>
      <c r="B124" s="155" t="s">
        <v>474</v>
      </c>
      <c r="C124" s="155" t="s">
        <v>73</v>
      </c>
      <c r="D124" s="154" t="s">
        <v>50</v>
      </c>
      <c r="E124" s="154" t="s">
        <v>475</v>
      </c>
      <c r="F124" s="156" t="s">
        <v>846</v>
      </c>
      <c r="G124" s="155"/>
      <c r="H124" s="155" t="s">
        <v>51</v>
      </c>
      <c r="I124" s="157" t="s">
        <v>476</v>
      </c>
      <c r="J124" s="154" t="s">
        <v>51</v>
      </c>
      <c r="K124" s="155" t="s">
        <v>205</v>
      </c>
      <c r="L124" s="155"/>
      <c r="M124" s="154" t="str">
        <f t="shared" si="2"/>
        <v>□</v>
      </c>
      <c r="N124" s="154"/>
      <c r="O124" s="154" t="s">
        <v>51</v>
      </c>
      <c r="P124" s="154" t="s">
        <v>51</v>
      </c>
      <c r="Q124" s="155" t="s">
        <v>490</v>
      </c>
    </row>
    <row r="125" spans="1:17" s="158" customFormat="1" ht="42.75">
      <c r="A125" s="126">
        <v>139</v>
      </c>
      <c r="B125" s="155" t="s">
        <v>474</v>
      </c>
      <c r="C125" s="155" t="s">
        <v>74</v>
      </c>
      <c r="D125" s="154" t="s">
        <v>50</v>
      </c>
      <c r="E125" s="154" t="s">
        <v>475</v>
      </c>
      <c r="F125" s="156" t="s">
        <v>849</v>
      </c>
      <c r="G125" s="155"/>
      <c r="H125" s="155" t="s">
        <v>51</v>
      </c>
      <c r="I125" s="157" t="s">
        <v>476</v>
      </c>
      <c r="J125" s="154" t="s">
        <v>51</v>
      </c>
      <c r="K125" s="155" t="s">
        <v>205</v>
      </c>
      <c r="L125" s="155"/>
      <c r="M125" s="154" t="str">
        <f t="shared" si="2"/>
        <v>□</v>
      </c>
      <c r="N125" s="154"/>
      <c r="O125" s="154" t="s">
        <v>51</v>
      </c>
      <c r="P125" s="154" t="s">
        <v>51</v>
      </c>
      <c r="Q125" s="155" t="s">
        <v>479</v>
      </c>
    </row>
    <row r="126" spans="1:17" s="158" customFormat="1" ht="42.75">
      <c r="A126" s="126">
        <v>140</v>
      </c>
      <c r="B126" s="155" t="s">
        <v>474</v>
      </c>
      <c r="C126" s="155" t="s">
        <v>94</v>
      </c>
      <c r="D126" s="154" t="s">
        <v>50</v>
      </c>
      <c r="E126" s="154" t="s">
        <v>475</v>
      </c>
      <c r="F126" s="156" t="s">
        <v>492</v>
      </c>
      <c r="G126" s="155"/>
      <c r="H126" s="155" t="s">
        <v>51</v>
      </c>
      <c r="I126" s="157" t="s">
        <v>476</v>
      </c>
      <c r="J126" s="154" t="s">
        <v>51</v>
      </c>
      <c r="K126" s="155" t="s">
        <v>205</v>
      </c>
      <c r="L126" s="155"/>
      <c r="M126" s="154" t="str">
        <f t="shared" si="2"/>
        <v>□</v>
      </c>
      <c r="N126" s="154"/>
      <c r="O126" s="154" t="s">
        <v>51</v>
      </c>
      <c r="P126" s="154" t="s">
        <v>51</v>
      </c>
      <c r="Q126" s="155" t="s">
        <v>493</v>
      </c>
    </row>
    <row r="127" spans="1:17" s="158" customFormat="1" ht="42.75">
      <c r="A127" s="126">
        <v>141</v>
      </c>
      <c r="B127" s="155" t="s">
        <v>474</v>
      </c>
      <c r="C127" s="155" t="s">
        <v>95</v>
      </c>
      <c r="D127" s="154" t="s">
        <v>50</v>
      </c>
      <c r="E127" s="154" t="s">
        <v>475</v>
      </c>
      <c r="F127" s="156" t="s">
        <v>494</v>
      </c>
      <c r="G127" s="155"/>
      <c r="H127" s="155" t="s">
        <v>51</v>
      </c>
      <c r="I127" s="157" t="s">
        <v>476</v>
      </c>
      <c r="J127" s="154" t="s">
        <v>51</v>
      </c>
      <c r="K127" s="155" t="s">
        <v>205</v>
      </c>
      <c r="L127" s="155"/>
      <c r="M127" s="154" t="str">
        <f t="shared" si="2"/>
        <v>□</v>
      </c>
      <c r="N127" s="154"/>
      <c r="O127" s="154" t="s">
        <v>51</v>
      </c>
      <c r="P127" s="154" t="s">
        <v>51</v>
      </c>
      <c r="Q127" s="155" t="s">
        <v>480</v>
      </c>
    </row>
    <row r="128" spans="1:17" s="158" customFormat="1" ht="42.75">
      <c r="A128" s="126">
        <v>142</v>
      </c>
      <c r="B128" s="155" t="s">
        <v>474</v>
      </c>
      <c r="C128" s="155" t="s">
        <v>96</v>
      </c>
      <c r="D128" s="154" t="s">
        <v>50</v>
      </c>
      <c r="E128" s="154" t="s">
        <v>475</v>
      </c>
      <c r="F128" s="156" t="s">
        <v>495</v>
      </c>
      <c r="G128" s="155"/>
      <c r="H128" s="155" t="s">
        <v>51</v>
      </c>
      <c r="I128" s="157" t="s">
        <v>476</v>
      </c>
      <c r="J128" s="154" t="s">
        <v>51</v>
      </c>
      <c r="K128" s="155" t="s">
        <v>205</v>
      </c>
      <c r="L128" s="155"/>
      <c r="M128" s="154" t="str">
        <f t="shared" si="2"/>
        <v>□</v>
      </c>
      <c r="N128" s="154"/>
      <c r="O128" s="154" t="s">
        <v>51</v>
      </c>
      <c r="P128" s="154" t="s">
        <v>51</v>
      </c>
      <c r="Q128" s="155" t="s">
        <v>481</v>
      </c>
    </row>
    <row r="129" spans="1:17" s="158" customFormat="1" ht="42.75">
      <c r="A129" s="126">
        <v>143</v>
      </c>
      <c r="B129" s="155" t="s">
        <v>474</v>
      </c>
      <c r="C129" s="155" t="s">
        <v>97</v>
      </c>
      <c r="D129" s="154" t="s">
        <v>50</v>
      </c>
      <c r="E129" s="154" t="s">
        <v>475</v>
      </c>
      <c r="F129" s="156" t="s">
        <v>496</v>
      </c>
      <c r="G129" s="155"/>
      <c r="H129" s="155" t="s">
        <v>51</v>
      </c>
      <c r="I129" s="157" t="s">
        <v>476</v>
      </c>
      <c r="J129" s="154" t="s">
        <v>51</v>
      </c>
      <c r="K129" s="155" t="s">
        <v>205</v>
      </c>
      <c r="L129" s="155"/>
      <c r="M129" s="154" t="str">
        <f t="shared" si="2"/>
        <v>□</v>
      </c>
      <c r="N129" s="154"/>
      <c r="O129" s="154" t="s">
        <v>51</v>
      </c>
      <c r="P129" s="154" t="s">
        <v>51</v>
      </c>
      <c r="Q129" s="155" t="s">
        <v>482</v>
      </c>
    </row>
    <row r="130" spans="1:17" s="158" customFormat="1" ht="42.75">
      <c r="A130" s="126">
        <v>144</v>
      </c>
      <c r="B130" s="155" t="s">
        <v>474</v>
      </c>
      <c r="C130" s="155" t="s">
        <v>98</v>
      </c>
      <c r="D130" s="154" t="s">
        <v>50</v>
      </c>
      <c r="E130" s="154" t="s">
        <v>475</v>
      </c>
      <c r="F130" s="156" t="s">
        <v>497</v>
      </c>
      <c r="G130" s="155"/>
      <c r="H130" s="155" t="s">
        <v>51</v>
      </c>
      <c r="I130" s="157" t="s">
        <v>476</v>
      </c>
      <c r="J130" s="154" t="s">
        <v>51</v>
      </c>
      <c r="K130" s="155" t="s">
        <v>205</v>
      </c>
      <c r="L130" s="155"/>
      <c r="M130" s="154" t="str">
        <f t="shared" si="2"/>
        <v>□</v>
      </c>
      <c r="N130" s="154"/>
      <c r="O130" s="154" t="s">
        <v>51</v>
      </c>
      <c r="P130" s="154" t="s">
        <v>51</v>
      </c>
      <c r="Q130" s="155" t="s">
        <v>483</v>
      </c>
    </row>
    <row r="131" spans="1:17" s="158" customFormat="1" ht="42.75">
      <c r="A131" s="126">
        <v>145</v>
      </c>
      <c r="B131" s="155" t="s">
        <v>474</v>
      </c>
      <c r="C131" s="155" t="s">
        <v>99</v>
      </c>
      <c r="D131" s="154" t="s">
        <v>50</v>
      </c>
      <c r="E131" s="154" t="s">
        <v>475</v>
      </c>
      <c r="F131" s="156" t="s">
        <v>498</v>
      </c>
      <c r="G131" s="155"/>
      <c r="H131" s="155" t="s">
        <v>51</v>
      </c>
      <c r="I131" s="157" t="s">
        <v>476</v>
      </c>
      <c r="J131" s="154" t="s">
        <v>51</v>
      </c>
      <c r="K131" s="155" t="s">
        <v>205</v>
      </c>
      <c r="L131" s="155"/>
      <c r="M131" s="154" t="str">
        <f t="shared" ref="M131:M132" si="6">HYPERLINK(Q131,"□")</f>
        <v>□</v>
      </c>
      <c r="N131" s="154"/>
      <c r="O131" s="154" t="s">
        <v>51</v>
      </c>
      <c r="P131" s="154" t="s">
        <v>51</v>
      </c>
      <c r="Q131" s="155" t="s">
        <v>499</v>
      </c>
    </row>
    <row r="132" spans="1:17" s="158" customFormat="1" ht="42.75">
      <c r="A132" s="126">
        <v>146</v>
      </c>
      <c r="B132" s="155" t="s">
        <v>474</v>
      </c>
      <c r="C132" s="155" t="s">
        <v>100</v>
      </c>
      <c r="D132" s="154" t="s">
        <v>50</v>
      </c>
      <c r="E132" s="154" t="s">
        <v>475</v>
      </c>
      <c r="F132" s="156" t="s">
        <v>871</v>
      </c>
      <c r="G132" s="155"/>
      <c r="H132" s="155" t="s">
        <v>51</v>
      </c>
      <c r="I132" s="157" t="s">
        <v>476</v>
      </c>
      <c r="J132" s="154" t="s">
        <v>51</v>
      </c>
      <c r="K132" s="155" t="s">
        <v>205</v>
      </c>
      <c r="L132" s="155"/>
      <c r="M132" s="154" t="str">
        <f t="shared" si="6"/>
        <v>□</v>
      </c>
      <c r="N132" s="154"/>
      <c r="O132" s="154" t="s">
        <v>51</v>
      </c>
      <c r="P132" s="154" t="s">
        <v>51</v>
      </c>
      <c r="Q132" s="155" t="s">
        <v>501</v>
      </c>
    </row>
  </sheetData>
  <autoFilter ref="A1:Q1"/>
  <phoneticPr fontId="27"/>
  <pageMargins left="0.70866141732283472" right="0.70866141732283472" top="0.74803149606299213" bottom="0.74803149606299213" header="0.31496062992125984" footer="0.31496062992125984"/>
  <pageSetup paperSize="9" scale="50" fitToHeight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R128"/>
  <sheetViews>
    <sheetView showGridLines="0" zoomScaleNormal="100" zoomScaleSheetLayoutView="85" workbookViewId="0">
      <pane ySplit="8" topLeftCell="A15" activePane="bottomLeft" state="frozen"/>
      <selection pane="bottomLeft" activeCell="B9" sqref="B9"/>
    </sheetView>
  </sheetViews>
  <sheetFormatPr defaultColWidth="9" defaultRowHeight="11.25" outlineLevelRow="1" outlineLevelCol="1"/>
  <cols>
    <col min="1" max="1" width="0.125" style="58" customWidth="1"/>
    <col min="2" max="2" width="12.125" style="60" customWidth="1"/>
    <col min="3" max="3" width="12" style="60" customWidth="1"/>
    <col min="4" max="4" width="14.5" style="60" customWidth="1"/>
    <col min="5" max="5" width="12.375" style="64" customWidth="1"/>
    <col min="6" max="6" width="26.5" style="64" customWidth="1"/>
    <col min="7" max="7" width="12.375" style="64" customWidth="1"/>
    <col min="8" max="8" width="49.625" style="64" hidden="1" customWidth="1"/>
    <col min="9" max="9" width="18" style="64" customWidth="1"/>
    <col min="10" max="10" width="14.875" style="64" customWidth="1"/>
    <col min="11" max="11" width="18" style="64" customWidth="1"/>
    <col min="12" max="12" width="4.5" style="58" bestFit="1" customWidth="1" outlineLevel="1"/>
    <col min="13" max="13" width="10.875" style="60" customWidth="1" outlineLevel="1"/>
    <col min="14" max="14" width="28" style="58" customWidth="1" outlineLevel="1"/>
    <col min="15" max="15" width="28" style="89" hidden="1" customWidth="1" outlineLevel="1"/>
    <col min="16" max="16" width="19.125" style="62" customWidth="1" outlineLevel="1"/>
    <col min="17" max="17" width="6.125" style="63" customWidth="1" outlineLevel="1"/>
    <col min="18" max="18" width="39.125" style="62" bestFit="1" customWidth="1" outlineLevel="1"/>
    <col min="19" max="16384" width="9" style="58"/>
  </cols>
  <sheetData>
    <row r="1" spans="1:18" s="67" customFormat="1" ht="13.5" customHeight="1">
      <c r="A1" s="55" t="str">
        <f>表紙!A8</f>
        <v>単体テスト仕様書</v>
      </c>
      <c r="B1" s="56"/>
      <c r="C1" s="56"/>
      <c r="D1" s="56"/>
      <c r="E1" s="66"/>
      <c r="F1" s="66"/>
      <c r="G1" s="102"/>
      <c r="H1" s="66"/>
      <c r="I1" s="105"/>
      <c r="J1" s="102"/>
      <c r="K1" s="103"/>
      <c r="L1" s="73"/>
      <c r="M1" s="79"/>
      <c r="N1" s="73"/>
      <c r="O1" s="84"/>
      <c r="P1" s="73"/>
      <c r="Q1" s="79"/>
      <c r="R1" s="92"/>
    </row>
    <row r="2" spans="1:18" s="67" customFormat="1">
      <c r="A2" s="57" t="s">
        <v>79</v>
      </c>
      <c r="B2" s="71" t="s">
        <v>30</v>
      </c>
      <c r="C2" s="70" t="s">
        <v>80</v>
      </c>
      <c r="D2" s="70"/>
      <c r="E2" s="72" t="s">
        <v>31</v>
      </c>
      <c r="F2" s="110">
        <v>10283</v>
      </c>
      <c r="G2" s="104" t="s">
        <v>22</v>
      </c>
      <c r="H2" s="108"/>
      <c r="I2" s="106">
        <f>表紙!AQ43</f>
        <v>43297</v>
      </c>
      <c r="J2" s="104" t="s">
        <v>19</v>
      </c>
      <c r="K2" s="107">
        <f ca="1">IF(表紙!$AQ$43="","",INDIRECT(ADDRESS(42+COUNTA(表紙!$AQ$43:$AQ$9999),COLUMN($AQ$1),1,TRUE,"表紙")))</f>
        <v>43297</v>
      </c>
      <c r="L2" s="76"/>
      <c r="M2" s="80"/>
      <c r="N2" s="77"/>
      <c r="O2" s="85"/>
      <c r="P2" s="215"/>
      <c r="Q2" s="215"/>
      <c r="R2" s="216"/>
    </row>
    <row r="3" spans="1:18" s="67" customFormat="1">
      <c r="A3" s="57" t="s">
        <v>81</v>
      </c>
      <c r="B3" s="71" t="s">
        <v>29</v>
      </c>
      <c r="C3" s="70" t="s">
        <v>200</v>
      </c>
      <c r="D3" s="70"/>
      <c r="E3" s="72" t="s">
        <v>32</v>
      </c>
      <c r="F3" s="101" t="str">
        <f ca="1">表紙!BM3</f>
        <v>店別セール発注製品マスタ作成</v>
      </c>
      <c r="G3" s="104" t="s">
        <v>23</v>
      </c>
      <c r="H3" s="108"/>
      <c r="I3" s="110" t="str">
        <f>表紙!AV43</f>
        <v>Future  侯慶好</v>
      </c>
      <c r="J3" s="104" t="s">
        <v>24</v>
      </c>
      <c r="K3" s="111" t="str">
        <f ca="1">IF(表紙!$AQ$43="","",INDIRECT(ADDRESS(42+COUNT(表紙!AQ43:AQ76),COLUMN(AV1),1,TRUE,"表紙")))</f>
        <v>Future  侯慶好</v>
      </c>
      <c r="L3" s="74"/>
      <c r="M3" s="81"/>
      <c r="N3" s="75"/>
      <c r="O3" s="86"/>
      <c r="P3" s="217"/>
      <c r="Q3" s="217"/>
      <c r="R3" s="218"/>
    </row>
    <row r="4" spans="1:18" ht="15.75" customHeight="1">
      <c r="B4" s="61"/>
      <c r="E4" s="65"/>
      <c r="F4" s="65"/>
      <c r="G4" s="65"/>
      <c r="H4" s="65"/>
      <c r="I4" s="65"/>
      <c r="J4" s="65"/>
      <c r="K4" s="65"/>
      <c r="L4" s="65"/>
      <c r="M4" s="82"/>
      <c r="N4" s="65"/>
      <c r="O4" s="87"/>
      <c r="P4" s="61"/>
      <c r="Q4" s="90"/>
      <c r="R4" s="93"/>
    </row>
    <row r="5" spans="1:18" ht="11.25" customHeight="1">
      <c r="B5" s="219" t="s">
        <v>12</v>
      </c>
      <c r="C5" s="220"/>
      <c r="D5" s="220"/>
      <c r="E5" s="220"/>
      <c r="F5" s="220"/>
      <c r="G5" s="220"/>
      <c r="H5" s="220"/>
      <c r="I5" s="220"/>
      <c r="J5" s="220"/>
      <c r="K5" s="221"/>
      <c r="L5" s="222" t="s">
        <v>14</v>
      </c>
      <c r="M5" s="223"/>
      <c r="N5" s="223"/>
      <c r="O5" s="223"/>
      <c r="P5" s="223"/>
      <c r="Q5" s="223"/>
      <c r="R5" s="224"/>
    </row>
    <row r="6" spans="1:18" s="59" customFormat="1" ht="11.25" customHeight="1">
      <c r="B6" s="225" t="s">
        <v>15</v>
      </c>
      <c r="C6" s="225"/>
      <c r="D6" s="225"/>
      <c r="E6" s="226" t="s">
        <v>11</v>
      </c>
      <c r="F6" s="227"/>
      <c r="G6" s="227"/>
      <c r="H6" s="227"/>
      <c r="I6" s="227"/>
      <c r="J6" s="227"/>
      <c r="K6" s="228"/>
      <c r="L6" s="222" t="s">
        <v>82</v>
      </c>
      <c r="M6" s="223"/>
      <c r="N6" s="223"/>
      <c r="O6" s="223"/>
      <c r="P6" s="223"/>
      <c r="Q6" s="223"/>
      <c r="R6" s="224"/>
    </row>
    <row r="7" spans="1:18" s="59" customFormat="1">
      <c r="B7" s="68" t="s">
        <v>28</v>
      </c>
      <c r="C7" s="94" t="s">
        <v>83</v>
      </c>
      <c r="D7" s="95" t="s">
        <v>84</v>
      </c>
      <c r="E7" s="229" t="s">
        <v>25</v>
      </c>
      <c r="F7" s="230"/>
      <c r="G7" s="231"/>
      <c r="H7" s="83" t="s">
        <v>18</v>
      </c>
      <c r="I7" s="229" t="s">
        <v>10</v>
      </c>
      <c r="J7" s="230"/>
      <c r="K7" s="231"/>
      <c r="L7" s="78" t="s">
        <v>85</v>
      </c>
      <c r="M7" s="232" t="s">
        <v>13</v>
      </c>
      <c r="N7" s="233"/>
      <c r="O7" s="88" t="s">
        <v>17</v>
      </c>
      <c r="P7" s="69" t="s">
        <v>16</v>
      </c>
      <c r="Q7" s="69" t="s">
        <v>86</v>
      </c>
      <c r="R7" s="96" t="s">
        <v>87</v>
      </c>
    </row>
    <row r="8" spans="1:18" s="59" customFormat="1">
      <c r="B8" s="97"/>
      <c r="C8" s="91"/>
      <c r="D8" s="98"/>
      <c r="E8" s="234"/>
      <c r="F8" s="235"/>
      <c r="G8" s="236"/>
      <c r="H8" s="146"/>
      <c r="I8" s="234"/>
      <c r="J8" s="235"/>
      <c r="K8" s="236"/>
      <c r="L8" s="69"/>
      <c r="M8" s="99" t="s">
        <v>84</v>
      </c>
      <c r="N8" s="100" t="s">
        <v>88</v>
      </c>
      <c r="O8" s="88"/>
      <c r="P8" s="69"/>
      <c r="Q8" s="69"/>
      <c r="R8" s="96"/>
    </row>
    <row r="9" spans="1:18" ht="56.25">
      <c r="B9" s="116">
        <v>2</v>
      </c>
      <c r="C9" s="116">
        <v>2</v>
      </c>
      <c r="D9" s="116" t="s">
        <v>873</v>
      </c>
      <c r="E9" s="210" t="s">
        <v>874</v>
      </c>
      <c r="F9" s="210"/>
      <c r="G9" s="211"/>
      <c r="H9" s="163" t="str">
        <f>IF($E9&lt;&gt;"", $E9, $I9)</f>
        <v xml:space="preserve">ディシジョン(BL)
ディシジョンID=D-1.ディシジョンNO=1.ディシジョン名=BL実行(店別セール発注製品マスタをTruncateで全件削除する。).ディシジョン概要=店別セール発注製品マスタ削除(Truncate)
</v>
      </c>
      <c r="I9" s="212" t="s">
        <v>875</v>
      </c>
      <c r="J9" s="213"/>
      <c r="K9" s="214"/>
      <c r="L9" s="114"/>
      <c r="M9" s="114"/>
      <c r="N9" s="115"/>
      <c r="O9" s="117"/>
      <c r="P9" s="118"/>
      <c r="Q9" s="119"/>
      <c r="R9" s="118"/>
    </row>
    <row r="10" spans="1:18" outlineLevel="1">
      <c r="B10" s="116" t="s">
        <v>998</v>
      </c>
      <c r="C10" s="116"/>
      <c r="D10" s="116"/>
      <c r="E10" s="210"/>
      <c r="F10" s="210"/>
      <c r="G10" s="211"/>
      <c r="H10" s="163" t="str">
        <f t="shared" ref="H10:H73" si="0">IF($E10&lt;&gt;"", $E10, $I10)</f>
        <v>DBスキーマ内のテーブルに「i1」で始まるシートの初期データを登録する。</v>
      </c>
      <c r="I10" s="237" t="str">
        <f>ReplaceTemplate($O10, $P10, $R10)</f>
        <v>DBスキーマ内のテーブルに「i1」で始まるシートの初期データを登録する。</v>
      </c>
      <c r="J10" s="213"/>
      <c r="K10" s="214"/>
      <c r="L10" s="114" t="s">
        <v>990</v>
      </c>
      <c r="M10" s="120" t="s">
        <v>1134</v>
      </c>
      <c r="N10" s="115" t="s">
        <v>173</v>
      </c>
      <c r="O10" s="117" t="s">
        <v>749</v>
      </c>
      <c r="P10" s="118" t="s">
        <v>55</v>
      </c>
      <c r="Q10" s="119"/>
      <c r="R10" s="118" t="s">
        <v>174</v>
      </c>
    </row>
    <row r="11" spans="1:18" ht="67.5" outlineLevel="1">
      <c r="B11" s="116" t="s">
        <v>999</v>
      </c>
      <c r="C11" s="116"/>
      <c r="D11" s="116"/>
      <c r="E11" s="210"/>
      <c r="F11" s="210"/>
      <c r="G11" s="211"/>
      <c r="H11" s="163" t="str">
        <f t="shared" si="0"/>
        <v>BLを実行する。</v>
      </c>
      <c r="I11" s="237" t="str">
        <f>ReplaceTemplate($O11, $P11, $R11)</f>
        <v>BLを実行する。</v>
      </c>
      <c r="J11" s="213"/>
      <c r="K11" s="214"/>
      <c r="L11" s="114" t="s">
        <v>990</v>
      </c>
      <c r="M11" s="120" t="s">
        <v>1134</v>
      </c>
      <c r="N11" s="115" t="s">
        <v>175</v>
      </c>
      <c r="O11" s="117" t="s">
        <v>750</v>
      </c>
      <c r="P11" s="118" t="s">
        <v>55</v>
      </c>
      <c r="Q11" s="119"/>
      <c r="R11" s="118" t="s">
        <v>515</v>
      </c>
    </row>
    <row r="12" spans="1:18" ht="22.5" outlineLevel="1">
      <c r="B12" s="116" t="s">
        <v>1000</v>
      </c>
      <c r="C12" s="116"/>
      <c r="D12" s="116"/>
      <c r="E12" s="210"/>
      <c r="F12" s="210"/>
      <c r="G12" s="211"/>
      <c r="H12" s="163" t="str">
        <f t="shared" si="0"/>
        <v>DBスキーマ内のテーブルが「v1」で始まるシートに定義された想定データ値と一致することを検証し、エビデンスとしてスナップショットを取得する。</v>
      </c>
      <c r="I12" s="238" t="str">
        <f>ReplaceTemplate($O12, $P12, $R12)</f>
        <v>DBスキーマ内のテーブルが「v1」で始まるシートに定義された想定データ値と一致することを検証し、エビデンスとしてスナップショットを取得する。</v>
      </c>
      <c r="J12" s="213"/>
      <c r="K12" s="214"/>
      <c r="L12" s="114" t="s">
        <v>990</v>
      </c>
      <c r="M12" s="149" t="s">
        <v>1135</v>
      </c>
      <c r="N12" s="115" t="s">
        <v>92</v>
      </c>
      <c r="O12" s="117" t="s">
        <v>751</v>
      </c>
      <c r="P12" s="118" t="s">
        <v>55</v>
      </c>
      <c r="Q12" s="119"/>
      <c r="R12" s="118" t="s">
        <v>93</v>
      </c>
    </row>
    <row r="13" spans="1:18" ht="56.25">
      <c r="B13" s="116">
        <v>3</v>
      </c>
      <c r="C13" s="116">
        <v>3</v>
      </c>
      <c r="D13" s="116" t="s">
        <v>873</v>
      </c>
      <c r="E13" s="210" t="s">
        <v>876</v>
      </c>
      <c r="F13" s="210" t="s">
        <v>208</v>
      </c>
      <c r="G13" s="211" t="s">
        <v>208</v>
      </c>
      <c r="H13" s="163" t="str">
        <f t="shared" si="0"/>
        <v xml:space="preserve">ディシジョン(BL)
ディシジョンID=D-2.ディシジョンNO=1.ディシジョン名=BL実行(店別セール発注製品マスタ登録).ディシジョン概要=登録条件全一致セールマスタ.最終参照可能日 = システム.業務日付+1
</v>
      </c>
      <c r="I13" s="212" t="s">
        <v>875</v>
      </c>
      <c r="J13" s="213"/>
      <c r="K13" s="214"/>
      <c r="L13" s="114"/>
      <c r="M13" s="114"/>
      <c r="N13" s="115"/>
      <c r="O13" s="117"/>
      <c r="P13" s="118"/>
      <c r="Q13" s="119"/>
      <c r="R13" s="118"/>
    </row>
    <row r="14" spans="1:18" ht="56.25">
      <c r="B14" s="116">
        <v>4</v>
      </c>
      <c r="C14" s="116">
        <v>4</v>
      </c>
      <c r="D14" s="116" t="s">
        <v>873</v>
      </c>
      <c r="E14" s="210" t="s">
        <v>877</v>
      </c>
      <c r="F14" s="210" t="s">
        <v>210</v>
      </c>
      <c r="G14" s="211" t="s">
        <v>210</v>
      </c>
      <c r="H14" s="163" t="str">
        <f t="shared" si="0"/>
        <v xml:space="preserve">ディシジョン(BL)
ディシジョンID=D-2.ディシジョンNO=2.ディシジョン名=BL実行(店別セール発注製品マスタ登録).ディシジョン概要=登録条件全一致セールマスタ.最終参照可能日 = システム.業務日付
</v>
      </c>
      <c r="I14" s="212" t="s">
        <v>875</v>
      </c>
      <c r="J14" s="213"/>
      <c r="K14" s="214"/>
      <c r="L14" s="114"/>
      <c r="M14" s="114"/>
      <c r="N14" s="115"/>
      <c r="O14" s="117"/>
      <c r="P14" s="118"/>
      <c r="Q14" s="119"/>
      <c r="R14" s="118"/>
    </row>
    <row r="15" spans="1:18" ht="56.25">
      <c r="B15" s="116">
        <v>5</v>
      </c>
      <c r="C15" s="116">
        <v>5</v>
      </c>
      <c r="D15" s="116" t="s">
        <v>873</v>
      </c>
      <c r="E15" s="210" t="s">
        <v>878</v>
      </c>
      <c r="F15" s="210" t="s">
        <v>212</v>
      </c>
      <c r="G15" s="211" t="s">
        <v>212</v>
      </c>
      <c r="H15" s="163" t="str">
        <f t="shared" si="0"/>
        <v xml:space="preserve">ディシジョン(BL)
ディシジョンID=D-2.ディシジョンNO=3.ディシジョン名=BL実行(店別セール発注製品マスタ登録).ディシジョン概要=【抽出条件不一致】セールマスタ.最終参照可能日 = システム.業務日付-1
</v>
      </c>
      <c r="I15" s="212" t="s">
        <v>875</v>
      </c>
      <c r="J15" s="213"/>
      <c r="K15" s="214"/>
      <c r="L15" s="114"/>
      <c r="M15" s="114"/>
      <c r="N15" s="115"/>
      <c r="O15" s="117"/>
      <c r="P15" s="118"/>
      <c r="Q15" s="119"/>
      <c r="R15" s="118"/>
    </row>
    <row r="16" spans="1:18" ht="56.25">
      <c r="B16" s="116">
        <v>6</v>
      </c>
      <c r="C16" s="116">
        <v>6</v>
      </c>
      <c r="D16" s="116" t="s">
        <v>873</v>
      </c>
      <c r="E16" s="210" t="s">
        <v>879</v>
      </c>
      <c r="F16" s="210" t="s">
        <v>214</v>
      </c>
      <c r="G16" s="211" t="s">
        <v>214</v>
      </c>
      <c r="H16" s="163" t="str">
        <f t="shared" si="0"/>
        <v xml:space="preserve">ディシジョン(BL)
ディシジョンID=D-2.ディシジョンNO=4.ディシジョン名=BL実行(店別セール発注製品マスタ登録).ディシジョン概要=【結合条件不一致】セールマスタ.セールIDと不一致
</v>
      </c>
      <c r="I16" s="212" t="s">
        <v>875</v>
      </c>
      <c r="J16" s="213"/>
      <c r="K16" s="214"/>
      <c r="L16" s="114"/>
      <c r="M16" s="114"/>
      <c r="N16" s="115"/>
      <c r="O16" s="117"/>
      <c r="P16" s="118"/>
      <c r="Q16" s="119"/>
      <c r="R16" s="118"/>
    </row>
    <row r="17" spans="2:18" ht="56.25">
      <c r="B17" s="116">
        <v>7</v>
      </c>
      <c r="C17" s="116">
        <v>7</v>
      </c>
      <c r="D17" s="116" t="s">
        <v>873</v>
      </c>
      <c r="E17" s="210" t="s">
        <v>880</v>
      </c>
      <c r="F17" s="210" t="s">
        <v>216</v>
      </c>
      <c r="G17" s="211" t="s">
        <v>216</v>
      </c>
      <c r="H17" s="163" t="str">
        <f t="shared" si="0"/>
        <v xml:space="preserve">ディシジョン(BL)
ディシジョンID=D-2.ディシジョンNO=5.ディシジョン名=BL実行(店別セール発注製品マスタ登録).ディシジョン概要=【結合条件不一致】セール発注製品マスタ.商品コード不一致
</v>
      </c>
      <c r="I17" s="212" t="s">
        <v>875</v>
      </c>
      <c r="J17" s="213"/>
      <c r="K17" s="214"/>
      <c r="L17" s="114"/>
      <c r="M17" s="114"/>
      <c r="N17" s="115"/>
      <c r="O17" s="117"/>
      <c r="P17" s="118"/>
      <c r="Q17" s="119"/>
      <c r="R17" s="118"/>
    </row>
    <row r="18" spans="2:18" ht="56.25">
      <c r="B18" s="116">
        <v>8</v>
      </c>
      <c r="C18" s="116">
        <v>8</v>
      </c>
      <c r="D18" s="116" t="s">
        <v>873</v>
      </c>
      <c r="E18" s="210" t="s">
        <v>881</v>
      </c>
      <c r="F18" s="210" t="s">
        <v>218</v>
      </c>
      <c r="G18" s="211" t="s">
        <v>218</v>
      </c>
      <c r="H18" s="163" t="str">
        <f t="shared" si="0"/>
        <v xml:space="preserve">ディシジョン(BL)
ディシジョンID=D-2.ディシジョンNO=6.ディシジョン名=BL実行(店別セール発注製品マスタ登録).ディシジョン概要=登録条件全一致商品マスタ.適用開始日 = セール発注製品マスタ.廻送日付開始(境界値)商品マスタ.適用終了日 = セール発注製品マスタ.廻送日付開始+1(Not境界値)
</v>
      </c>
      <c r="I18" s="212" t="s">
        <v>875</v>
      </c>
      <c r="J18" s="213"/>
      <c r="K18" s="214"/>
      <c r="L18" s="114"/>
      <c r="M18" s="114"/>
      <c r="N18" s="115"/>
      <c r="O18" s="117"/>
      <c r="P18" s="118"/>
      <c r="Q18" s="119"/>
      <c r="R18" s="118"/>
    </row>
    <row r="19" spans="2:18" ht="56.25">
      <c r="B19" s="116">
        <v>9</v>
      </c>
      <c r="C19" s="116">
        <v>9</v>
      </c>
      <c r="D19" s="116" t="s">
        <v>873</v>
      </c>
      <c r="E19" s="210" t="s">
        <v>882</v>
      </c>
      <c r="F19" s="210" t="s">
        <v>220</v>
      </c>
      <c r="G19" s="211" t="s">
        <v>220</v>
      </c>
      <c r="H19" s="163" t="str">
        <f t="shared" si="0"/>
        <v xml:space="preserve">ディシジョン(BL)
ディシジョンID=D-2.ディシジョンNO=7.ディシジョン名=BL実行(店別セール発注製品マスタ登録).ディシジョン概要=登録条件全一致商品マスタ.適用開始日 = セール発注製品マスタ.廻送日付開始-1(Not境界値)商品マスタ.適用終了日 = セール発注製品マスタ.廻送日付開始(境界値)
</v>
      </c>
      <c r="I19" s="212" t="s">
        <v>875</v>
      </c>
      <c r="J19" s="213"/>
      <c r="K19" s="214"/>
      <c r="L19" s="114"/>
      <c r="M19" s="114"/>
      <c r="N19" s="115"/>
      <c r="O19" s="117"/>
      <c r="P19" s="118"/>
      <c r="Q19" s="119"/>
      <c r="R19" s="118"/>
    </row>
    <row r="20" spans="2:18" ht="56.25">
      <c r="B20" s="116">
        <v>10</v>
      </c>
      <c r="C20" s="116">
        <v>10</v>
      </c>
      <c r="D20" s="116" t="s">
        <v>873</v>
      </c>
      <c r="E20" s="210" t="s">
        <v>883</v>
      </c>
      <c r="F20" s="210" t="s">
        <v>222</v>
      </c>
      <c r="G20" s="211" t="s">
        <v>222</v>
      </c>
      <c r="H20" s="163" t="str">
        <f t="shared" si="0"/>
        <v xml:space="preserve">ディシジョン(BL)
ディシジョンID=D-2.ディシジョンNO=8.ディシジョン名=BL実行(店別セール発注製品マスタ登録).ディシジョン概要=【結合条件不一致】商品マスタ.適用開始日 = セール発注製品マスタ.廻送日付開始+1商品マスタ.適用終了日 = セール発注製品マスタ.廻送日付開始+1
</v>
      </c>
      <c r="I20" s="212" t="s">
        <v>875</v>
      </c>
      <c r="J20" s="213"/>
      <c r="K20" s="214"/>
      <c r="L20" s="114"/>
      <c r="M20" s="114"/>
      <c r="N20" s="115"/>
      <c r="O20" s="117"/>
      <c r="P20" s="118"/>
      <c r="Q20" s="119"/>
      <c r="R20" s="118"/>
    </row>
    <row r="21" spans="2:18" ht="56.25">
      <c r="B21" s="116">
        <v>11</v>
      </c>
      <c r="C21" s="116">
        <v>11</v>
      </c>
      <c r="D21" s="116" t="s">
        <v>873</v>
      </c>
      <c r="E21" s="210" t="s">
        <v>884</v>
      </c>
      <c r="F21" s="210" t="s">
        <v>224</v>
      </c>
      <c r="G21" s="211" t="s">
        <v>224</v>
      </c>
      <c r="H21" s="163" t="str">
        <f t="shared" si="0"/>
        <v xml:space="preserve">ディシジョン(BL)
ディシジョンID=D-2.ディシジョンNO=9.ディシジョン名=BL実行(店別セール発注製品マスタ登録).ディシジョン概要=【結合条件不一致】商品マスタ.適用開始日 = セール発注製品マスタ.廻送日付開始-1商品マスタ.適用終了日 = セール発注製品マスタ.廻送日付開始-1
</v>
      </c>
      <c r="I21" s="212" t="s">
        <v>875</v>
      </c>
      <c r="J21" s="213"/>
      <c r="K21" s="214"/>
      <c r="L21" s="114"/>
      <c r="M21" s="114"/>
      <c r="N21" s="115"/>
      <c r="O21" s="117"/>
      <c r="P21" s="118"/>
      <c r="Q21" s="119"/>
      <c r="R21" s="118"/>
    </row>
    <row r="22" spans="2:18" ht="56.25">
      <c r="B22" s="116">
        <v>12</v>
      </c>
      <c r="C22" s="116">
        <v>12</v>
      </c>
      <c r="D22" s="116" t="s">
        <v>873</v>
      </c>
      <c r="E22" s="210" t="s">
        <v>885</v>
      </c>
      <c r="F22" s="210" t="s">
        <v>226</v>
      </c>
      <c r="G22" s="211" t="s">
        <v>226</v>
      </c>
      <c r="H22" s="163" t="str">
        <f t="shared" si="0"/>
        <v xml:space="preserve">ディシジョン(BL)
ディシジョンID=D-2.ディシジョンNO=10.ディシジョン名=BL実行(店別セール発注製品マスタ登録).ディシジョン概要=【結合条件不一致】[区分値.商品取扱状態区分.取扱]と不一致
</v>
      </c>
      <c r="I22" s="212" t="s">
        <v>875</v>
      </c>
      <c r="J22" s="213"/>
      <c r="K22" s="214"/>
      <c r="L22" s="114"/>
      <c r="M22" s="114"/>
      <c r="N22" s="115"/>
      <c r="O22" s="117"/>
      <c r="P22" s="118"/>
      <c r="Q22" s="119"/>
      <c r="R22" s="118"/>
    </row>
    <row r="23" spans="2:18" ht="56.25">
      <c r="B23" s="116">
        <v>13</v>
      </c>
      <c r="C23" s="116">
        <v>13</v>
      </c>
      <c r="D23" s="116" t="s">
        <v>873</v>
      </c>
      <c r="E23" s="210" t="s">
        <v>886</v>
      </c>
      <c r="F23" s="210" t="s">
        <v>228</v>
      </c>
      <c r="G23" s="211" t="s">
        <v>228</v>
      </c>
      <c r="H23" s="163" t="str">
        <f t="shared" si="0"/>
        <v xml:space="preserve">ディシジョン(BL)
ディシジョンID=D-2.ディシジョンNO=11.ディシジョン名=BL実行(店別セール発注製品マスタ登録).ディシジョン概要=【結合条件不一致】商品マスタ.商品IDと不一致
</v>
      </c>
      <c r="I23" s="212" t="s">
        <v>875</v>
      </c>
      <c r="J23" s="213"/>
      <c r="K23" s="214"/>
      <c r="L23" s="114"/>
      <c r="M23" s="114"/>
      <c r="N23" s="115"/>
      <c r="O23" s="117"/>
      <c r="P23" s="118"/>
      <c r="Q23" s="119"/>
      <c r="R23" s="118"/>
    </row>
    <row r="24" spans="2:18" ht="56.25">
      <c r="B24" s="116">
        <v>14</v>
      </c>
      <c r="C24" s="116">
        <v>14</v>
      </c>
      <c r="D24" s="116" t="s">
        <v>873</v>
      </c>
      <c r="E24" s="210" t="s">
        <v>887</v>
      </c>
      <c r="F24" s="210" t="s">
        <v>230</v>
      </c>
      <c r="G24" s="211" t="s">
        <v>230</v>
      </c>
      <c r="H24" s="163" t="str">
        <f t="shared" si="0"/>
        <v xml:space="preserve">ディシジョン(BL)
ディシジョンID=D-2.ディシジョンNO=12.ディシジョン名=BL実行(店別セール発注製品マスタ登録).ディシジョン概要=【結合条件不一致】商品マスタ.適用終了日と不一致
</v>
      </c>
      <c r="I24" s="212" t="s">
        <v>875</v>
      </c>
      <c r="J24" s="213"/>
      <c r="K24" s="214"/>
      <c r="L24" s="114"/>
      <c r="M24" s="114"/>
      <c r="N24" s="115"/>
      <c r="O24" s="117"/>
      <c r="P24" s="118"/>
      <c r="Q24" s="119"/>
      <c r="R24" s="118"/>
    </row>
    <row r="25" spans="2:18" ht="56.25">
      <c r="B25" s="116">
        <v>15</v>
      </c>
      <c r="C25" s="116">
        <v>15</v>
      </c>
      <c r="D25" s="116" t="s">
        <v>873</v>
      </c>
      <c r="E25" s="210" t="s">
        <v>888</v>
      </c>
      <c r="F25" s="210" t="s">
        <v>232</v>
      </c>
      <c r="G25" s="211" t="s">
        <v>232</v>
      </c>
      <c r="H25" s="163" t="str">
        <f t="shared" si="0"/>
        <v xml:space="preserve">ディシジョン(BL)
ディシジョンID=D-2.ディシジョンNO=13.ディシジョン名=BL実行(店別セール発注製品マスタ登録).ディシジョン概要=【結合条件不一致】[区分値.商品分類体系区分.営業商品分類]と不一致
</v>
      </c>
      <c r="I25" s="212" t="s">
        <v>875</v>
      </c>
      <c r="J25" s="213"/>
      <c r="K25" s="214"/>
      <c r="L25" s="114"/>
      <c r="M25" s="114"/>
      <c r="N25" s="115"/>
      <c r="O25" s="117"/>
      <c r="P25" s="118"/>
      <c r="Q25" s="119"/>
      <c r="R25" s="118"/>
    </row>
    <row r="26" spans="2:18" ht="56.25">
      <c r="B26" s="116">
        <v>16</v>
      </c>
      <c r="C26" s="116">
        <v>16</v>
      </c>
      <c r="D26" s="116" t="s">
        <v>873</v>
      </c>
      <c r="E26" s="210" t="s">
        <v>889</v>
      </c>
      <c r="F26" s="210" t="s">
        <v>234</v>
      </c>
      <c r="G26" s="211" t="s">
        <v>234</v>
      </c>
      <c r="H26" s="163" t="str">
        <f t="shared" si="0"/>
        <v xml:space="preserve">ディシジョン(BL)
ディシジョンID=D-2.ディシジョンNO=14.ディシジョン名=BL実行(店別セール発注製品マスタ登録).ディシジョン概要=【結合条件不一致】商品分類関連マスタ.商品分類体系区分と不一致
</v>
      </c>
      <c r="I26" s="212" t="s">
        <v>875</v>
      </c>
      <c r="J26" s="213"/>
      <c r="K26" s="214"/>
      <c r="L26" s="114"/>
      <c r="M26" s="114"/>
      <c r="N26" s="115"/>
      <c r="O26" s="117"/>
      <c r="P26" s="118"/>
      <c r="Q26" s="119"/>
      <c r="R26" s="118"/>
    </row>
    <row r="27" spans="2:18" ht="56.25">
      <c r="B27" s="116">
        <v>17</v>
      </c>
      <c r="C27" s="116">
        <v>17</v>
      </c>
      <c r="D27" s="116" t="s">
        <v>873</v>
      </c>
      <c r="E27" s="210" t="s">
        <v>890</v>
      </c>
      <c r="F27" s="210" t="s">
        <v>236</v>
      </c>
      <c r="G27" s="211" t="s">
        <v>236</v>
      </c>
      <c r="H27" s="163" t="str">
        <f t="shared" si="0"/>
        <v xml:space="preserve">ディシジョン(BL)
ディシジョンID=D-2.ディシジョンNO=15.ディシジョン名=BL実行(店別セール発注製品マスタ登録).ディシジョン概要=【結合条件不一致】商品分類関連マスタ.商品分類IDと不一致
</v>
      </c>
      <c r="I27" s="212" t="s">
        <v>875</v>
      </c>
      <c r="J27" s="213"/>
      <c r="K27" s="214"/>
      <c r="L27" s="114"/>
      <c r="M27" s="114"/>
      <c r="N27" s="115"/>
      <c r="O27" s="117"/>
      <c r="P27" s="118"/>
      <c r="Q27" s="119"/>
      <c r="R27" s="118"/>
    </row>
    <row r="28" spans="2:18" ht="56.25">
      <c r="B28" s="116">
        <v>18</v>
      </c>
      <c r="C28" s="116">
        <v>18</v>
      </c>
      <c r="D28" s="116" t="s">
        <v>873</v>
      </c>
      <c r="E28" s="210" t="s">
        <v>891</v>
      </c>
      <c r="F28" s="210" t="s">
        <v>238</v>
      </c>
      <c r="G28" s="211" t="s">
        <v>238</v>
      </c>
      <c r="H28" s="163" t="str">
        <f t="shared" si="0"/>
        <v xml:space="preserve">ディシジョン(BL)
ディシジョンID=D-2.ディシジョンNO=16.ディシジョン名=BL実行(店別セール発注製品マスタ登録).ディシジョン概要=登録条件全一致商品分類展開マスタ.適用開始日 = セール発注製品マスタ.廻送日付開始(境界値)商品分類展開マスタ.適用終了日 = セール発注製品マスタ.廻送日付開始+1(Not境界値)
</v>
      </c>
      <c r="I28" s="212" t="s">
        <v>875</v>
      </c>
      <c r="J28" s="213"/>
      <c r="K28" s="214"/>
      <c r="L28" s="114"/>
      <c r="M28" s="114"/>
      <c r="N28" s="115"/>
      <c r="O28" s="117"/>
      <c r="P28" s="118"/>
      <c r="Q28" s="119"/>
      <c r="R28" s="118"/>
    </row>
    <row r="29" spans="2:18" ht="56.25">
      <c r="B29" s="116">
        <v>19</v>
      </c>
      <c r="C29" s="116">
        <v>19</v>
      </c>
      <c r="D29" s="116" t="s">
        <v>873</v>
      </c>
      <c r="E29" s="210" t="s">
        <v>892</v>
      </c>
      <c r="F29" s="210" t="s">
        <v>240</v>
      </c>
      <c r="G29" s="211" t="s">
        <v>240</v>
      </c>
      <c r="H29" s="163" t="str">
        <f t="shared" si="0"/>
        <v xml:space="preserve">ディシジョン(BL)
ディシジョンID=D-2.ディシジョンNO=17.ディシジョン名=BL実行(店別セール発注製品マスタ登録).ディシジョン概要=登録条件全一致商品分類展開マスタ.適用開始日 = セール発注製品マスタ.廻送日付開始-1(Not境界値)商品分類展開マスタ.適用終了日 = セール発注製品マスタ.廻送日付開始(境界値)
</v>
      </c>
      <c r="I29" s="212" t="s">
        <v>875</v>
      </c>
      <c r="J29" s="213"/>
      <c r="K29" s="214"/>
      <c r="L29" s="114"/>
      <c r="M29" s="114"/>
      <c r="N29" s="115"/>
      <c r="O29" s="117"/>
      <c r="P29" s="118"/>
      <c r="Q29" s="119"/>
      <c r="R29" s="118"/>
    </row>
    <row r="30" spans="2:18" ht="56.25">
      <c r="B30" s="116">
        <v>20</v>
      </c>
      <c r="C30" s="116">
        <v>20</v>
      </c>
      <c r="D30" s="116" t="s">
        <v>873</v>
      </c>
      <c r="E30" s="210" t="s">
        <v>893</v>
      </c>
      <c r="F30" s="210" t="s">
        <v>242</v>
      </c>
      <c r="G30" s="211" t="s">
        <v>242</v>
      </c>
      <c r="H30" s="163" t="str">
        <f t="shared" si="0"/>
        <v xml:space="preserve">ディシジョン(BL)
ディシジョンID=D-2.ディシジョンNO=18.ディシジョン名=BL実行(店別セール発注製品マスタ登録).ディシジョン概要=【結合条件不一致】商品分類展開マスタ.適用開始日 = セール発注製品マスタ.廻送日付開始+1商品分類展開マスタ.適用終了日 = セール発注製品マスタ.廻送日付開始+1
</v>
      </c>
      <c r="I30" s="212" t="s">
        <v>875</v>
      </c>
      <c r="J30" s="213"/>
      <c r="K30" s="214"/>
      <c r="L30" s="114"/>
      <c r="M30" s="114"/>
      <c r="N30" s="115"/>
      <c r="O30" s="117"/>
      <c r="P30" s="118"/>
      <c r="Q30" s="119"/>
      <c r="R30" s="118"/>
    </row>
    <row r="31" spans="2:18" ht="56.25">
      <c r="B31" s="116">
        <v>21</v>
      </c>
      <c r="C31" s="116">
        <v>21</v>
      </c>
      <c r="D31" s="116" t="s">
        <v>873</v>
      </c>
      <c r="E31" s="210" t="s">
        <v>894</v>
      </c>
      <c r="F31" s="210" t="s">
        <v>244</v>
      </c>
      <c r="G31" s="211" t="s">
        <v>244</v>
      </c>
      <c r="H31" s="163" t="str">
        <f t="shared" si="0"/>
        <v xml:space="preserve">ディシジョン(BL)
ディシジョンID=D-2.ディシジョンNO=19.ディシジョン名=BL実行(店別セール発注製品マスタ登録).ディシジョン概要=【結合条件不一致】商品分類展開マスタ.適用開始日 = セール発注製品マスタ.廻送日付開始-1商品分類展開マスタ.適用終了日 = セール発注製品マスタ.廻送日付開始-1
</v>
      </c>
      <c r="I31" s="212" t="s">
        <v>875</v>
      </c>
      <c r="J31" s="213"/>
      <c r="K31" s="214"/>
      <c r="L31" s="114"/>
      <c r="M31" s="114"/>
      <c r="N31" s="115"/>
      <c r="O31" s="117"/>
      <c r="P31" s="118"/>
      <c r="Q31" s="119"/>
      <c r="R31" s="118"/>
    </row>
    <row r="32" spans="2:18" ht="56.25">
      <c r="B32" s="116">
        <v>22</v>
      </c>
      <c r="C32" s="116">
        <v>22</v>
      </c>
      <c r="D32" s="116" t="s">
        <v>873</v>
      </c>
      <c r="E32" s="210" t="s">
        <v>895</v>
      </c>
      <c r="F32" s="210" t="s">
        <v>246</v>
      </c>
      <c r="G32" s="211" t="s">
        <v>246</v>
      </c>
      <c r="H32" s="163" t="str">
        <f t="shared" si="0"/>
        <v xml:space="preserve">ディシジョン(BL)
ディシジョンID=D-2.ディシジョンNO=20.ディシジョン名=BL実行(店別セール発注製品マスタ登録).ディシジョン概要=【結合条件不一致】システム.業務日付と不一致
</v>
      </c>
      <c r="I32" s="212" t="s">
        <v>875</v>
      </c>
      <c r="J32" s="213"/>
      <c r="K32" s="214"/>
      <c r="L32" s="114"/>
      <c r="M32" s="114"/>
      <c r="N32" s="115"/>
      <c r="O32" s="117"/>
      <c r="P32" s="118"/>
      <c r="Q32" s="119"/>
      <c r="R32" s="118"/>
    </row>
    <row r="33" spans="2:18" ht="56.25">
      <c r="B33" s="116">
        <v>23</v>
      </c>
      <c r="C33" s="116">
        <v>23</v>
      </c>
      <c r="D33" s="116" t="s">
        <v>873</v>
      </c>
      <c r="E33" s="210" t="s">
        <v>896</v>
      </c>
      <c r="F33" s="210" t="s">
        <v>248</v>
      </c>
      <c r="G33" s="211" t="s">
        <v>248</v>
      </c>
      <c r="H33" s="163" t="str">
        <f t="shared" si="0"/>
        <v xml:space="preserve">ディシジョン(BL)
ディシジョンID=D-2.ディシジョンNO=21.ディシジョン名=BL実行(店別セール発注製品マスタ登録).ディシジョン概要=【結合条件不一致】商品マスタ.商品IDと不一致
</v>
      </c>
      <c r="I33" s="212" t="s">
        <v>875</v>
      </c>
      <c r="J33" s="213"/>
      <c r="K33" s="214"/>
      <c r="L33" s="114"/>
      <c r="M33" s="114"/>
      <c r="N33" s="115"/>
      <c r="O33" s="117"/>
      <c r="P33" s="118"/>
      <c r="Q33" s="119"/>
      <c r="R33" s="118"/>
    </row>
    <row r="34" spans="2:18" ht="56.25">
      <c r="B34" s="116">
        <v>24</v>
      </c>
      <c r="C34" s="116">
        <v>24</v>
      </c>
      <c r="D34" s="116" t="s">
        <v>873</v>
      </c>
      <c r="E34" s="210" t="s">
        <v>897</v>
      </c>
      <c r="F34" s="210" t="s">
        <v>250</v>
      </c>
      <c r="G34" s="211" t="s">
        <v>250</v>
      </c>
      <c r="H34" s="163" t="str">
        <f t="shared" si="0"/>
        <v xml:space="preserve">ディシジョン(BL)
ディシジョンID=D-2.ディシジョンNO=22.ディシジョン名=BL実行(店別セール発注製品マスタ登録).ディシジョン概要=【結合条件不一致】商品マスタ.適用終了日と不一致
</v>
      </c>
      <c r="I34" s="212" t="s">
        <v>875</v>
      </c>
      <c r="J34" s="213"/>
      <c r="K34" s="214"/>
      <c r="L34" s="114"/>
      <c r="M34" s="114"/>
      <c r="N34" s="115"/>
      <c r="O34" s="117"/>
      <c r="P34" s="118"/>
      <c r="Q34" s="119"/>
      <c r="R34" s="118"/>
    </row>
    <row r="35" spans="2:18" ht="56.25">
      <c r="B35" s="116">
        <v>25</v>
      </c>
      <c r="C35" s="116">
        <v>25</v>
      </c>
      <c r="D35" s="116" t="s">
        <v>873</v>
      </c>
      <c r="E35" s="210" t="s">
        <v>898</v>
      </c>
      <c r="F35" s="210" t="s">
        <v>252</v>
      </c>
      <c r="G35" s="211" t="s">
        <v>252</v>
      </c>
      <c r="H35" s="163" t="str">
        <f t="shared" si="0"/>
        <v xml:space="preserve">ディシジョン(BL)
ディシジョンID=D-2.ディシジョンNO=23.ディシジョン名=BL実行(店別セール発注製品マスタ登録).ディシジョン概要=【結合条件不一致】セール発注製品マスタ.製品IDと不一致
</v>
      </c>
      <c r="I35" s="212" t="s">
        <v>875</v>
      </c>
      <c r="J35" s="213"/>
      <c r="K35" s="214"/>
      <c r="L35" s="114"/>
      <c r="M35" s="114"/>
      <c r="N35" s="115"/>
      <c r="O35" s="117"/>
      <c r="P35" s="118"/>
      <c r="Q35" s="119"/>
      <c r="R35" s="118"/>
    </row>
    <row r="36" spans="2:18" ht="56.25">
      <c r="B36" s="116">
        <v>26</v>
      </c>
      <c r="C36" s="116">
        <v>26</v>
      </c>
      <c r="D36" s="116" t="s">
        <v>873</v>
      </c>
      <c r="E36" s="210" t="s">
        <v>899</v>
      </c>
      <c r="F36" s="210" t="s">
        <v>254</v>
      </c>
      <c r="G36" s="211" t="s">
        <v>254</v>
      </c>
      <c r="H36" s="163" t="str">
        <f t="shared" si="0"/>
        <v xml:space="preserve">ディシジョン(BL)
ディシジョンID=D-2.ディシジョンNO=24.ディシジョン名=BL実行(店別セール発注製品マスタ登録).ディシジョン概要=【結合条件不一致】セールマスタ.製品IDと不一致
</v>
      </c>
      <c r="I36" s="212" t="s">
        <v>875</v>
      </c>
      <c r="J36" s="213"/>
      <c r="K36" s="214"/>
      <c r="L36" s="114"/>
      <c r="M36" s="114"/>
      <c r="N36" s="115"/>
      <c r="O36" s="117"/>
      <c r="P36" s="118"/>
      <c r="Q36" s="119"/>
      <c r="R36" s="118"/>
    </row>
    <row r="37" spans="2:18" ht="56.25">
      <c r="B37" s="116">
        <v>27</v>
      </c>
      <c r="C37" s="116">
        <v>27</v>
      </c>
      <c r="D37" s="116" t="s">
        <v>873</v>
      </c>
      <c r="E37" s="210" t="s">
        <v>900</v>
      </c>
      <c r="F37" s="210" t="s">
        <v>256</v>
      </c>
      <c r="G37" s="211" t="s">
        <v>256</v>
      </c>
      <c r="H37" s="163" t="str">
        <f t="shared" si="0"/>
        <v xml:space="preserve">ディシジョン(BL)
ディシジョンID=D-2.ディシジョンNO=25.ディシジョン名=BL実行(店別セール発注製品マスタ登録).ディシジョン概要=登録条件全一致製品世代マスタ.適用開始日 = セール発注製品マスタ.廻送日付開始(境界値)製品世代マスタ.適用終了日 = セール発注製品マスタ.廻送日付開始+1(Not境界値)
</v>
      </c>
      <c r="I37" s="212" t="s">
        <v>875</v>
      </c>
      <c r="J37" s="213"/>
      <c r="K37" s="214"/>
      <c r="L37" s="114"/>
      <c r="M37" s="114"/>
      <c r="N37" s="115"/>
      <c r="O37" s="117"/>
      <c r="P37" s="118"/>
      <c r="Q37" s="119"/>
      <c r="R37" s="118"/>
    </row>
    <row r="38" spans="2:18" ht="56.25">
      <c r="B38" s="116">
        <v>28</v>
      </c>
      <c r="C38" s="116">
        <v>28</v>
      </c>
      <c r="D38" s="116" t="s">
        <v>873</v>
      </c>
      <c r="E38" s="210" t="s">
        <v>901</v>
      </c>
      <c r="F38" s="210" t="s">
        <v>258</v>
      </c>
      <c r="G38" s="211" t="s">
        <v>258</v>
      </c>
      <c r="H38" s="163" t="str">
        <f t="shared" si="0"/>
        <v xml:space="preserve">ディシジョン(BL)
ディシジョンID=D-2.ディシジョンNO=26.ディシジョン名=BL実行(店別セール発注製品マスタ登録).ディシジョン概要=登録条件全一致製品世代マスタ.適用開始日 = セール発注製品マスタ.廻送日付開始-1(Not境界値)製品世代マスタ.適用終了日 = セール発注製品マスタ.廻送日付開始(境界値)
</v>
      </c>
      <c r="I38" s="212" t="s">
        <v>875</v>
      </c>
      <c r="J38" s="213"/>
      <c r="K38" s="214"/>
      <c r="L38" s="114"/>
      <c r="M38" s="114"/>
      <c r="N38" s="115"/>
      <c r="O38" s="117"/>
      <c r="P38" s="118"/>
      <c r="Q38" s="119"/>
      <c r="R38" s="118"/>
    </row>
    <row r="39" spans="2:18" ht="56.25">
      <c r="B39" s="116">
        <v>29</v>
      </c>
      <c r="C39" s="116">
        <v>29</v>
      </c>
      <c r="D39" s="116" t="s">
        <v>873</v>
      </c>
      <c r="E39" s="210" t="s">
        <v>902</v>
      </c>
      <c r="F39" s="210" t="s">
        <v>260</v>
      </c>
      <c r="G39" s="211" t="s">
        <v>260</v>
      </c>
      <c r="H39" s="163" t="str">
        <f t="shared" si="0"/>
        <v xml:space="preserve">ディシジョン(BL)
ディシジョンID=D-2.ディシジョンNO=27.ディシジョン名=BL実行(店別セール発注製品マスタ登録).ディシジョン概要=【結合条件不一致】製品世代マスタ.適用開始日 = セール発注製品マスタ.廻送日付開始+1製品世代マスタ.適用終了日 = セール発注製品マスタ.廻送日付開始+1
</v>
      </c>
      <c r="I39" s="212" t="s">
        <v>875</v>
      </c>
      <c r="J39" s="213"/>
      <c r="K39" s="214"/>
      <c r="L39" s="114"/>
      <c r="M39" s="114"/>
      <c r="N39" s="115"/>
      <c r="O39" s="117"/>
      <c r="P39" s="118"/>
      <c r="Q39" s="119"/>
      <c r="R39" s="118"/>
    </row>
    <row r="40" spans="2:18" ht="56.25">
      <c r="B40" s="116">
        <v>30</v>
      </c>
      <c r="C40" s="116">
        <v>30</v>
      </c>
      <c r="D40" s="116" t="s">
        <v>873</v>
      </c>
      <c r="E40" s="210" t="s">
        <v>903</v>
      </c>
      <c r="F40" s="210" t="s">
        <v>262</v>
      </c>
      <c r="G40" s="211" t="s">
        <v>262</v>
      </c>
      <c r="H40" s="163" t="str">
        <f t="shared" si="0"/>
        <v xml:space="preserve">ディシジョン(BL)
ディシジョンID=D-2.ディシジョンNO=28.ディシジョン名=BL実行(店別セール発注製品マスタ登録).ディシジョン概要=【結合条件不一致】製品世代マスタ.適用開始日 = セール発注製品マスタ.廻送日付開始-1製品世代マスタ.適用終了日 = セール発注製品マスタ.廻送日付開始-1
</v>
      </c>
      <c r="I40" s="212" t="s">
        <v>875</v>
      </c>
      <c r="J40" s="213"/>
      <c r="K40" s="214"/>
      <c r="L40" s="114"/>
      <c r="M40" s="114"/>
      <c r="N40" s="115"/>
      <c r="O40" s="117"/>
      <c r="P40" s="118"/>
      <c r="Q40" s="119"/>
      <c r="R40" s="118"/>
    </row>
    <row r="41" spans="2:18" ht="56.25">
      <c r="B41" s="116">
        <v>31</v>
      </c>
      <c r="C41" s="116">
        <v>31</v>
      </c>
      <c r="D41" s="116" t="s">
        <v>873</v>
      </c>
      <c r="E41" s="210" t="s">
        <v>904</v>
      </c>
      <c r="F41" s="210" t="s">
        <v>264</v>
      </c>
      <c r="G41" s="211" t="s">
        <v>264</v>
      </c>
      <c r="H41" s="163" t="str">
        <f t="shared" si="0"/>
        <v xml:space="preserve">ディシジョン(BL)
ディシジョンID=D-2.ディシジョンNO=29.ディシジョン名=BL実行(店別セール発注製品マスタ登録).ディシジョン概要=【結合条件不一致】製品世代マスタ.品番 = [000]
</v>
      </c>
      <c r="I41" s="212" t="s">
        <v>875</v>
      </c>
      <c r="J41" s="213"/>
      <c r="K41" s="214"/>
      <c r="L41" s="114"/>
      <c r="M41" s="114"/>
      <c r="N41" s="115"/>
      <c r="O41" s="117"/>
      <c r="P41" s="118"/>
      <c r="Q41" s="119"/>
      <c r="R41" s="118"/>
    </row>
    <row r="42" spans="2:18" ht="56.25">
      <c r="B42" s="116">
        <v>32</v>
      </c>
      <c r="C42" s="116">
        <v>32</v>
      </c>
      <c r="D42" s="116" t="s">
        <v>873</v>
      </c>
      <c r="E42" s="210" t="s">
        <v>905</v>
      </c>
      <c r="F42" s="210" t="s">
        <v>266</v>
      </c>
      <c r="G42" s="211" t="s">
        <v>266</v>
      </c>
      <c r="H42" s="163" t="str">
        <f t="shared" si="0"/>
        <v xml:space="preserve">ディシジョン(BL)
ディシジョンID=D-2.ディシジョンNO=30.ディシジョン名=BL実行(店別セール発注製品マスタ登録).ディシジョン概要=【結合条件不一致】製品世代マスタ.業務コード = [区分値.業務コード区分.広域]
</v>
      </c>
      <c r="I42" s="212" t="s">
        <v>875</v>
      </c>
      <c r="J42" s="213"/>
      <c r="K42" s="214"/>
      <c r="L42" s="114"/>
      <c r="M42" s="114"/>
      <c r="N42" s="115"/>
      <c r="O42" s="117"/>
      <c r="P42" s="118"/>
      <c r="Q42" s="119"/>
      <c r="R42" s="118"/>
    </row>
    <row r="43" spans="2:18" ht="56.25">
      <c r="B43" s="116">
        <v>33</v>
      </c>
      <c r="C43" s="116">
        <v>33</v>
      </c>
      <c r="D43" s="116" t="s">
        <v>873</v>
      </c>
      <c r="E43" s="210" t="s">
        <v>906</v>
      </c>
      <c r="F43" s="210" t="s">
        <v>268</v>
      </c>
      <c r="G43" s="211" t="s">
        <v>268</v>
      </c>
      <c r="H43" s="163" t="str">
        <f t="shared" si="0"/>
        <v xml:space="preserve">ディシジョン(BL)
ディシジョンID=D-2.ディシジョンNO=31.ディシジョン名=BL実行(店別セール発注製品マスタ登録).ディシジョン概要=登録条件全一致仕入先マスタ.適用開始日 = セール発注製品マスタ.廻送日付開始(境界値)仕入先マスタ.適用終了日 = セール発注製品マスタ.廻送日付開始+1(Not境界値)
</v>
      </c>
      <c r="I43" s="212" t="s">
        <v>875</v>
      </c>
      <c r="J43" s="213"/>
      <c r="K43" s="214"/>
      <c r="L43" s="114"/>
      <c r="M43" s="114"/>
      <c r="N43" s="115"/>
      <c r="O43" s="117"/>
      <c r="P43" s="118"/>
      <c r="Q43" s="119"/>
      <c r="R43" s="118"/>
    </row>
    <row r="44" spans="2:18" ht="56.25">
      <c r="B44" s="116">
        <v>34</v>
      </c>
      <c r="C44" s="116">
        <v>34</v>
      </c>
      <c r="D44" s="116" t="s">
        <v>873</v>
      </c>
      <c r="E44" s="210" t="s">
        <v>907</v>
      </c>
      <c r="F44" s="210" t="s">
        <v>270</v>
      </c>
      <c r="G44" s="211" t="s">
        <v>270</v>
      </c>
      <c r="H44" s="163" t="str">
        <f t="shared" si="0"/>
        <v xml:space="preserve">ディシジョン(BL)
ディシジョンID=D-2.ディシジョンNO=32.ディシジョン名=BL実行(店別セール発注製品マスタ登録).ディシジョン概要=登録条件全一致仕入先マスタ.適用開始日 = セール発注製品マスタ.廻送日付開始-1(Not境界値)仕入先マスタ.適用終了日 = セール発注製品マスタ.廻送日付開始(境界値)
</v>
      </c>
      <c r="I44" s="212" t="s">
        <v>875</v>
      </c>
      <c r="J44" s="213"/>
      <c r="K44" s="214"/>
      <c r="L44" s="114"/>
      <c r="M44" s="114"/>
      <c r="N44" s="115"/>
      <c r="O44" s="117"/>
      <c r="P44" s="118"/>
      <c r="Q44" s="119"/>
      <c r="R44" s="118"/>
    </row>
    <row r="45" spans="2:18" ht="56.25">
      <c r="B45" s="116">
        <v>35</v>
      </c>
      <c r="C45" s="116">
        <v>35</v>
      </c>
      <c r="D45" s="116" t="s">
        <v>873</v>
      </c>
      <c r="E45" s="210" t="s">
        <v>908</v>
      </c>
      <c r="F45" s="210" t="s">
        <v>273</v>
      </c>
      <c r="G45" s="211" t="s">
        <v>273</v>
      </c>
      <c r="H45" s="163" t="str">
        <f t="shared" si="0"/>
        <v xml:space="preserve">ディシジョン(BL)
ディシジョンID=D-2.ディシジョンNO=33.ディシジョン名=BL実行(店別セール発注製品マスタ登録).ディシジョン概要=【結合条件不一致】仕入先マスタ.適用開始日 = セール発注製品マスタ.廻送日付開始+1仕入先マスタ.適用終了日 = セール発注製品マスタ.廻送日付開始+1
</v>
      </c>
      <c r="I45" s="212" t="s">
        <v>875</v>
      </c>
      <c r="J45" s="213"/>
      <c r="K45" s="214"/>
      <c r="L45" s="114"/>
      <c r="M45" s="114"/>
      <c r="N45" s="115"/>
      <c r="O45" s="117"/>
      <c r="P45" s="118"/>
      <c r="Q45" s="119"/>
      <c r="R45" s="118"/>
    </row>
    <row r="46" spans="2:18" ht="56.25">
      <c r="B46" s="116">
        <v>36</v>
      </c>
      <c r="C46" s="116">
        <v>36</v>
      </c>
      <c r="D46" s="116" t="s">
        <v>873</v>
      </c>
      <c r="E46" s="210" t="s">
        <v>909</v>
      </c>
      <c r="F46" s="210" t="s">
        <v>276</v>
      </c>
      <c r="G46" s="211" t="s">
        <v>276</v>
      </c>
      <c r="H46" s="163" t="str">
        <f t="shared" si="0"/>
        <v xml:space="preserve">ディシジョン(BL)
ディシジョンID=D-2.ディシジョンNO=34.ディシジョン名=BL実行(店別セール発注製品マスタ登録).ディシジョン概要=【結合条件不一致】仕入先マスタ.適用開始日 = セール発注製品マスタ.廻送日付開始-1仕入先マスタ.適用終了日 = セール発注製品マスタ.廻送日付開始-1
</v>
      </c>
      <c r="I46" s="212" t="s">
        <v>875</v>
      </c>
      <c r="J46" s="213"/>
      <c r="K46" s="214"/>
      <c r="L46" s="114"/>
      <c r="M46" s="114"/>
      <c r="N46" s="115"/>
      <c r="O46" s="117"/>
      <c r="P46" s="118"/>
      <c r="Q46" s="119"/>
      <c r="R46" s="118"/>
    </row>
    <row r="47" spans="2:18" ht="56.25">
      <c r="B47" s="116">
        <v>37</v>
      </c>
      <c r="C47" s="116">
        <v>37</v>
      </c>
      <c r="D47" s="116" t="s">
        <v>873</v>
      </c>
      <c r="E47" s="210" t="s">
        <v>910</v>
      </c>
      <c r="F47" s="210" t="s">
        <v>279</v>
      </c>
      <c r="G47" s="211" t="s">
        <v>279</v>
      </c>
      <c r="H47" s="163" t="str">
        <f t="shared" si="0"/>
        <v xml:space="preserve">ディシジョン(BL)
ディシジョンID=D-2.ディシジョンNO=35.ディシジョン名=BL実行(店別セール発注製品マスタ登録).ディシジョン概要=【結合条件不一致】製品マスタ.地区区分と不一致
</v>
      </c>
      <c r="I47" s="212" t="s">
        <v>875</v>
      </c>
      <c r="J47" s="213"/>
      <c r="K47" s="214"/>
      <c r="L47" s="114"/>
      <c r="M47" s="114"/>
      <c r="N47" s="115"/>
      <c r="O47" s="117"/>
      <c r="P47" s="118"/>
      <c r="Q47" s="119"/>
      <c r="R47" s="118"/>
    </row>
    <row r="48" spans="2:18" ht="56.25">
      <c r="B48" s="116">
        <v>38</v>
      </c>
      <c r="C48" s="116">
        <v>38</v>
      </c>
      <c r="D48" s="116" t="s">
        <v>873</v>
      </c>
      <c r="E48" s="210" t="s">
        <v>911</v>
      </c>
      <c r="F48" s="210" t="s">
        <v>282</v>
      </c>
      <c r="G48" s="211" t="s">
        <v>282</v>
      </c>
      <c r="H48" s="163" t="str">
        <f t="shared" si="0"/>
        <v xml:space="preserve">ディシジョン(BL)
ディシジョンID=D-2.ディシジョンNO=36.ディシジョン名=BL実行(店別セール発注製品マスタ登録).ディシジョン概要=【結合条件不一致】製品世代マスタ.業務コードと不一致
</v>
      </c>
      <c r="I48" s="212" t="s">
        <v>875</v>
      </c>
      <c r="J48" s="213"/>
      <c r="K48" s="214"/>
      <c r="L48" s="114"/>
      <c r="M48" s="114"/>
      <c r="N48" s="115"/>
      <c r="O48" s="117"/>
      <c r="P48" s="118"/>
      <c r="Q48" s="119"/>
      <c r="R48" s="118"/>
    </row>
    <row r="49" spans="2:18" ht="56.25">
      <c r="B49" s="116">
        <v>39</v>
      </c>
      <c r="C49" s="116">
        <v>39</v>
      </c>
      <c r="D49" s="116" t="s">
        <v>873</v>
      </c>
      <c r="E49" s="210" t="s">
        <v>912</v>
      </c>
      <c r="F49" s="210" t="s">
        <v>285</v>
      </c>
      <c r="G49" s="211" t="s">
        <v>285</v>
      </c>
      <c r="H49" s="163" t="str">
        <f t="shared" si="0"/>
        <v xml:space="preserve">ディシジョン(BL)
ディシジョンID=D-2.ディシジョンNO=37.ディシジョン名=BL実行(店別セール発注製品マスタ登録).ディシジョン概要=【結合条件不一致】[区分値.店舗発注停止フラグ.停止しない]と不一致
</v>
      </c>
      <c r="I49" s="212" t="s">
        <v>875</v>
      </c>
      <c r="J49" s="213"/>
      <c r="K49" s="214"/>
      <c r="L49" s="114"/>
      <c r="M49" s="114"/>
      <c r="N49" s="115"/>
      <c r="O49" s="117"/>
      <c r="P49" s="118"/>
      <c r="Q49" s="119"/>
      <c r="R49" s="118"/>
    </row>
    <row r="50" spans="2:18" ht="56.25">
      <c r="B50" s="116">
        <v>40</v>
      </c>
      <c r="C50" s="116">
        <v>40</v>
      </c>
      <c r="D50" s="116" t="s">
        <v>873</v>
      </c>
      <c r="E50" s="210" t="s">
        <v>913</v>
      </c>
      <c r="F50" s="210" t="s">
        <v>288</v>
      </c>
      <c r="G50" s="211" t="s">
        <v>288</v>
      </c>
      <c r="H50" s="163" t="str">
        <f t="shared" si="0"/>
        <v xml:space="preserve">ディシジョン(BL)
ディシジョンID=D-2.ディシジョンNO=38.ディシジョン名=BL実行(店別セール発注製品マスタ登録).ディシジョン概要=【結合条件不一致】仕入先マスタ.仕入先コードと不一致
</v>
      </c>
      <c r="I50" s="212" t="s">
        <v>875</v>
      </c>
      <c r="J50" s="213"/>
      <c r="K50" s="214"/>
      <c r="L50" s="114"/>
      <c r="M50" s="114"/>
      <c r="N50" s="115"/>
      <c r="O50" s="117"/>
      <c r="P50" s="118"/>
      <c r="Q50" s="119"/>
      <c r="R50" s="118"/>
    </row>
    <row r="51" spans="2:18" ht="56.25">
      <c r="B51" s="116">
        <v>41</v>
      </c>
      <c r="C51" s="116">
        <v>41</v>
      </c>
      <c r="D51" s="116" t="s">
        <v>873</v>
      </c>
      <c r="E51" s="210" t="s">
        <v>914</v>
      </c>
      <c r="F51" s="210" t="s">
        <v>291</v>
      </c>
      <c r="G51" s="211" t="s">
        <v>291</v>
      </c>
      <c r="H51" s="163" t="str">
        <f t="shared" si="0"/>
        <v xml:space="preserve">ディシジョン(BL)
ディシジョンID=D-2.ディシジョンNO=39.ディシジョン名=BL実行(店別セール発注製品マスタ登録).ディシジョン概要=【結合条件不一致】セール発注製品マスタ.廻送日付開始と不一致
</v>
      </c>
      <c r="I51" s="212" t="s">
        <v>875</v>
      </c>
      <c r="J51" s="213"/>
      <c r="K51" s="214"/>
      <c r="L51" s="114"/>
      <c r="M51" s="114"/>
      <c r="N51" s="115"/>
      <c r="O51" s="117"/>
      <c r="P51" s="118"/>
      <c r="Q51" s="119"/>
      <c r="R51" s="118"/>
    </row>
    <row r="52" spans="2:18" ht="56.25">
      <c r="B52" s="116">
        <v>42</v>
      </c>
      <c r="C52" s="116">
        <v>42</v>
      </c>
      <c r="D52" s="116" t="s">
        <v>873</v>
      </c>
      <c r="E52" s="210" t="s">
        <v>915</v>
      </c>
      <c r="F52" s="210" t="s">
        <v>294</v>
      </c>
      <c r="G52" s="211" t="s">
        <v>294</v>
      </c>
      <c r="H52" s="163" t="str">
        <f t="shared" si="0"/>
        <v xml:space="preserve">ディシジョン(BL)
ディシジョンID=D-2.ディシジョンNO=40.ディシジョン名=BL実行(店別セール発注製品マスタ登録).ディシジョン概要=登録条件全一致店舗マスタ.適用開始日 = セール発注製品マスタ.廻送日付開始(境界値)店舗マスタ.適用終了日 = セール発注製品マスタ.廻送日付開始+1(Not境界値)
</v>
      </c>
      <c r="I52" s="212" t="s">
        <v>875</v>
      </c>
      <c r="J52" s="213"/>
      <c r="K52" s="214"/>
      <c r="L52" s="114"/>
      <c r="M52" s="114"/>
      <c r="N52" s="115"/>
      <c r="O52" s="117"/>
      <c r="P52" s="118"/>
      <c r="Q52" s="119"/>
      <c r="R52" s="118"/>
    </row>
    <row r="53" spans="2:18" ht="56.25">
      <c r="B53" s="116">
        <v>43</v>
      </c>
      <c r="C53" s="116">
        <v>43</v>
      </c>
      <c r="D53" s="116" t="s">
        <v>873</v>
      </c>
      <c r="E53" s="210" t="s">
        <v>916</v>
      </c>
      <c r="F53" s="210" t="s">
        <v>297</v>
      </c>
      <c r="G53" s="211" t="s">
        <v>297</v>
      </c>
      <c r="H53" s="163" t="str">
        <f t="shared" si="0"/>
        <v xml:space="preserve">ディシジョン(BL)
ディシジョンID=D-2.ディシジョンNO=41.ディシジョン名=BL実行(店別セール発注製品マスタ登録).ディシジョン概要=登録条件全一致店舗マスタ.適用開始日 = セール発注製品マスタ.廻送日付開始-1(Not境界値)店舗マスタ.適用終了日 = セール発注製品マスタ.廻送日付開始(境界値)
</v>
      </c>
      <c r="I53" s="212" t="s">
        <v>875</v>
      </c>
      <c r="J53" s="213"/>
      <c r="K53" s="214"/>
      <c r="L53" s="114"/>
      <c r="M53" s="114"/>
      <c r="N53" s="115"/>
      <c r="O53" s="117"/>
      <c r="P53" s="118"/>
      <c r="Q53" s="119"/>
      <c r="R53" s="118"/>
    </row>
    <row r="54" spans="2:18" ht="56.25">
      <c r="B54" s="116">
        <v>44</v>
      </c>
      <c r="C54" s="116">
        <v>44</v>
      </c>
      <c r="D54" s="116" t="s">
        <v>873</v>
      </c>
      <c r="E54" s="210" t="s">
        <v>917</v>
      </c>
      <c r="F54" s="210" t="s">
        <v>300</v>
      </c>
      <c r="G54" s="211" t="s">
        <v>300</v>
      </c>
      <c r="H54" s="163" t="str">
        <f t="shared" si="0"/>
        <v xml:space="preserve">ディシジョン(BL)
ディシジョンID=D-2.ディシジョンNO=42.ディシジョン名=BL実行(店別セール発注製品マスタ登録).ディシジョン概要=【結合条件不一致】店舗マスタ.適用開始日 = セール発注製品マスタ.廻送日付開始+1店舗マスタ.適用終了日 = セール発注製品マスタ.廻送日付開始+1
</v>
      </c>
      <c r="I54" s="212" t="s">
        <v>875</v>
      </c>
      <c r="J54" s="213"/>
      <c r="K54" s="214"/>
      <c r="L54" s="114"/>
      <c r="M54" s="114"/>
      <c r="N54" s="115"/>
      <c r="O54" s="117"/>
      <c r="P54" s="118"/>
      <c r="Q54" s="119"/>
      <c r="R54" s="118"/>
    </row>
    <row r="55" spans="2:18" ht="56.25">
      <c r="B55" s="116">
        <v>45</v>
      </c>
      <c r="C55" s="116">
        <v>45</v>
      </c>
      <c r="D55" s="116" t="s">
        <v>873</v>
      </c>
      <c r="E55" s="210" t="s">
        <v>918</v>
      </c>
      <c r="F55" s="210" t="s">
        <v>303</v>
      </c>
      <c r="G55" s="211" t="s">
        <v>303</v>
      </c>
      <c r="H55" s="163" t="str">
        <f t="shared" si="0"/>
        <v xml:space="preserve">ディシジョン(BL)
ディシジョンID=D-2.ディシジョンNO=43.ディシジョン名=BL実行(店別セール発注製品マスタ登録).ディシジョン概要=【結合条件不一致】店舗マスタ.適用開始日 = セール発注製品マスタ.廻送日付開始-1店舗マスタ.適用終了日 = セール発注製品マスタ.廻送日付開始-1
</v>
      </c>
      <c r="I55" s="212" t="s">
        <v>875</v>
      </c>
      <c r="J55" s="213"/>
      <c r="K55" s="214"/>
      <c r="L55" s="114"/>
      <c r="M55" s="114"/>
      <c r="N55" s="115"/>
      <c r="O55" s="117"/>
      <c r="P55" s="118"/>
      <c r="Q55" s="119"/>
      <c r="R55" s="118"/>
    </row>
    <row r="56" spans="2:18" ht="56.25">
      <c r="B56" s="116">
        <v>46</v>
      </c>
      <c r="C56" s="116">
        <v>46</v>
      </c>
      <c r="D56" s="116" t="s">
        <v>873</v>
      </c>
      <c r="E56" s="210" t="s">
        <v>919</v>
      </c>
      <c r="F56" s="210" t="s">
        <v>306</v>
      </c>
      <c r="G56" s="211" t="s">
        <v>306</v>
      </c>
      <c r="H56" s="163" t="str">
        <f t="shared" si="0"/>
        <v xml:space="preserve">ディシジョン(BL)
ディシジョンID=D-2.ディシジョンNO=44.ディシジョン名=BL実行(店別セール発注製品マスタ登録).ディシジョン概要=【結合条件不一致】店舗マスタ.出荷先IDと不一致
</v>
      </c>
      <c r="I56" s="212" t="s">
        <v>875</v>
      </c>
      <c r="J56" s="213"/>
      <c r="K56" s="214"/>
      <c r="L56" s="114"/>
      <c r="M56" s="114"/>
      <c r="N56" s="115"/>
      <c r="O56" s="117"/>
      <c r="P56" s="118"/>
      <c r="Q56" s="119"/>
      <c r="R56" s="118"/>
    </row>
    <row r="57" spans="2:18" ht="56.25">
      <c r="B57" s="116">
        <v>47</v>
      </c>
      <c r="C57" s="116">
        <v>47</v>
      </c>
      <c r="D57" s="116" t="s">
        <v>873</v>
      </c>
      <c r="E57" s="210" t="s">
        <v>920</v>
      </c>
      <c r="F57" s="210" t="s">
        <v>309</v>
      </c>
      <c r="G57" s="211" t="s">
        <v>309</v>
      </c>
      <c r="H57" s="163" t="str">
        <f t="shared" si="0"/>
        <v xml:space="preserve">ディシジョン(BL)
ディシジョンID=D-2.ディシジョンNO=45.ディシジョン名=BL実行(店別セール発注製品マスタ登録).ディシジョン概要=登録条件全一致出荷先世代マスタ.適用開始日 = セール発注製品マスタ.廻送日付開始(境界値)出荷先世代マスタ.適用終了日 = セール発注製品マスタ.廻送日付開始+1(Not境界値)
</v>
      </c>
      <c r="I57" s="212" t="s">
        <v>875</v>
      </c>
      <c r="J57" s="213"/>
      <c r="K57" s="214"/>
      <c r="L57" s="114"/>
      <c r="M57" s="114"/>
      <c r="N57" s="115"/>
      <c r="O57" s="117"/>
      <c r="P57" s="118"/>
      <c r="Q57" s="119"/>
      <c r="R57" s="118"/>
    </row>
    <row r="58" spans="2:18" ht="56.25">
      <c r="B58" s="116">
        <v>48</v>
      </c>
      <c r="C58" s="116">
        <v>48</v>
      </c>
      <c r="D58" s="116" t="s">
        <v>873</v>
      </c>
      <c r="E58" s="210" t="s">
        <v>921</v>
      </c>
      <c r="F58" s="210" t="s">
        <v>312</v>
      </c>
      <c r="G58" s="211" t="s">
        <v>312</v>
      </c>
      <c r="H58" s="163" t="str">
        <f t="shared" si="0"/>
        <v xml:space="preserve">ディシジョン(BL)
ディシジョンID=D-2.ディシジョンNO=46.ディシジョン名=BL実行(店別セール発注製品マスタ登録).ディシジョン概要=登録条件全一致出荷先世代マスタ.適用開始日 = セール発注製品マスタ.廻送日付開始-1(Not境界値)出荷先世代マスタ.適用終了日 = セール発注製品マスタ.廻送日付開始(境界値)
</v>
      </c>
      <c r="I58" s="212" t="s">
        <v>875</v>
      </c>
      <c r="J58" s="213"/>
      <c r="K58" s="214"/>
      <c r="L58" s="114"/>
      <c r="M58" s="114"/>
      <c r="N58" s="115"/>
      <c r="O58" s="117"/>
      <c r="P58" s="118"/>
      <c r="Q58" s="119"/>
      <c r="R58" s="118"/>
    </row>
    <row r="59" spans="2:18" ht="56.25">
      <c r="B59" s="116">
        <v>49</v>
      </c>
      <c r="C59" s="116">
        <v>49</v>
      </c>
      <c r="D59" s="116" t="s">
        <v>873</v>
      </c>
      <c r="E59" s="210" t="s">
        <v>922</v>
      </c>
      <c r="F59" s="210" t="s">
        <v>315</v>
      </c>
      <c r="G59" s="211" t="s">
        <v>315</v>
      </c>
      <c r="H59" s="163" t="str">
        <f t="shared" si="0"/>
        <v xml:space="preserve">ディシジョン(BL)
ディシジョンID=D-2.ディシジョンNO=47.ディシジョン名=BL実行(店別セール発注製品マスタ登録).ディシジョン概要=【結合条件不一致】出荷先世代マスタ.適用開始日 = セール発注製品マスタ.廻送日付開始+1出荷先世代マスタ.適用終了日 = セール発注製品マスタ.廻送日付開始+1
</v>
      </c>
      <c r="I59" s="212" t="s">
        <v>875</v>
      </c>
      <c r="J59" s="213"/>
      <c r="K59" s="214"/>
      <c r="L59" s="114"/>
      <c r="M59" s="114"/>
      <c r="N59" s="115"/>
      <c r="O59" s="117"/>
      <c r="P59" s="118"/>
      <c r="Q59" s="119"/>
      <c r="R59" s="118"/>
    </row>
    <row r="60" spans="2:18" ht="56.25">
      <c r="B60" s="116">
        <v>50</v>
      </c>
      <c r="C60" s="116">
        <v>50</v>
      </c>
      <c r="D60" s="116" t="s">
        <v>873</v>
      </c>
      <c r="E60" s="210" t="s">
        <v>923</v>
      </c>
      <c r="F60" s="210" t="s">
        <v>318</v>
      </c>
      <c r="G60" s="211" t="s">
        <v>318</v>
      </c>
      <c r="H60" s="163" t="str">
        <f t="shared" si="0"/>
        <v xml:space="preserve">ディシジョン(BL)
ディシジョンID=D-2.ディシジョンNO=48.ディシジョン名=BL実行(店別セール発注製品マスタ登録).ディシジョン概要=【結合条件不一致】出荷先世代マスタ.適用開始日 = セール発注製品マスタ.廻送日付開始-1出荷先世代マスタ.適用終了日 = セール発注製品マスタ.廻送日付開始-1
</v>
      </c>
      <c r="I60" s="212" t="s">
        <v>875</v>
      </c>
      <c r="J60" s="213"/>
      <c r="K60" s="214"/>
      <c r="L60" s="114"/>
      <c r="M60" s="114"/>
      <c r="N60" s="115"/>
      <c r="O60" s="117"/>
      <c r="P60" s="118"/>
      <c r="Q60" s="119"/>
      <c r="R60" s="118"/>
    </row>
    <row r="61" spans="2:18" ht="56.25">
      <c r="B61" s="116">
        <v>51</v>
      </c>
      <c r="C61" s="116">
        <v>51</v>
      </c>
      <c r="D61" s="116" t="s">
        <v>873</v>
      </c>
      <c r="E61" s="210" t="s">
        <v>924</v>
      </c>
      <c r="F61" s="210" t="s">
        <v>321</v>
      </c>
      <c r="G61" s="211" t="s">
        <v>321</v>
      </c>
      <c r="H61" s="163" t="str">
        <f t="shared" si="0"/>
        <v xml:space="preserve">ディシジョン(BL)
ディシジョンID=D-2.ディシジョンNO=49.ディシジョン名=BL実行(店別セール発注製品マスタ登録).ディシジョン概要=【結合条件不一致】製品マスタ.地区区分と不一致
</v>
      </c>
      <c r="I61" s="212" t="s">
        <v>875</v>
      </c>
      <c r="J61" s="213"/>
      <c r="K61" s="214"/>
      <c r="L61" s="114"/>
      <c r="M61" s="114"/>
      <c r="N61" s="115"/>
      <c r="O61" s="117"/>
      <c r="P61" s="118"/>
      <c r="Q61" s="119"/>
      <c r="R61" s="118"/>
    </row>
    <row r="62" spans="2:18" ht="56.25">
      <c r="B62" s="116">
        <v>52</v>
      </c>
      <c r="C62" s="116">
        <v>52</v>
      </c>
      <c r="D62" s="116" t="s">
        <v>873</v>
      </c>
      <c r="E62" s="210" t="s">
        <v>925</v>
      </c>
      <c r="F62" s="210" t="s">
        <v>324</v>
      </c>
      <c r="G62" s="211" t="s">
        <v>324</v>
      </c>
      <c r="H62" s="163" t="str">
        <f t="shared" si="0"/>
        <v xml:space="preserve">ディシジョン(BL)
ディシジョンID=D-2.ディシジョンNO=50.ディシジョン名=BL実行(店別セール発注製品マスタ登録).ディシジョン概要=【設定値条件】製品世代マスタ.取扱フラグ(1桁目) = "2"
</v>
      </c>
      <c r="I62" s="212" t="s">
        <v>875</v>
      </c>
      <c r="J62" s="213"/>
      <c r="K62" s="214"/>
      <c r="L62" s="114"/>
      <c r="M62" s="114"/>
      <c r="N62" s="115"/>
      <c r="O62" s="117"/>
      <c r="P62" s="118"/>
      <c r="Q62" s="119"/>
      <c r="R62" s="118"/>
    </row>
    <row r="63" spans="2:18" ht="56.25">
      <c r="B63" s="116">
        <v>53</v>
      </c>
      <c r="C63" s="116">
        <v>53</v>
      </c>
      <c r="D63" s="116" t="s">
        <v>873</v>
      </c>
      <c r="E63" s="210" t="s">
        <v>926</v>
      </c>
      <c r="F63" s="210" t="s">
        <v>327</v>
      </c>
      <c r="G63" s="211" t="s">
        <v>327</v>
      </c>
      <c r="H63" s="163" t="str">
        <f t="shared" si="0"/>
        <v xml:space="preserve">ディシジョン(BL)
ディシジョンID=D-2.ディシジョンNO=51.ディシジョン名=BL実行(店別セール発注製品マスタ登録).ディシジョン概要=【結合条件不一致】製品世代マスタ.取扱フラグ(1桁目) = "1"出荷先世代マスタ.取扱フラグ(1桁目) = "2"
</v>
      </c>
      <c r="I63" s="212" t="s">
        <v>875</v>
      </c>
      <c r="J63" s="213"/>
      <c r="K63" s="214"/>
      <c r="L63" s="114"/>
      <c r="M63" s="114"/>
      <c r="N63" s="115"/>
      <c r="O63" s="117"/>
      <c r="P63" s="118"/>
      <c r="Q63" s="119"/>
      <c r="R63" s="118"/>
    </row>
    <row r="64" spans="2:18" ht="56.25">
      <c r="B64" s="116">
        <v>54</v>
      </c>
      <c r="C64" s="116">
        <v>54</v>
      </c>
      <c r="D64" s="116" t="s">
        <v>873</v>
      </c>
      <c r="E64" s="210" t="s">
        <v>927</v>
      </c>
      <c r="F64" s="210" t="s">
        <v>330</v>
      </c>
      <c r="G64" s="211" t="s">
        <v>330</v>
      </c>
      <c r="H64" s="163" t="str">
        <f t="shared" si="0"/>
        <v xml:space="preserve">ディシジョン(BL)
ディシジョンID=D-2.ディシジョンNO=52.ディシジョン名=BL実行(店別セール発注製品マスタ登録).ディシジョン概要=【設定値条件】製品世代マスタ.取扱フラグ(2桁目) = "2"
</v>
      </c>
      <c r="I64" s="212" t="s">
        <v>875</v>
      </c>
      <c r="J64" s="213"/>
      <c r="K64" s="214"/>
      <c r="L64" s="114"/>
      <c r="M64" s="114"/>
      <c r="N64" s="115"/>
      <c r="O64" s="117"/>
      <c r="P64" s="118"/>
      <c r="Q64" s="119"/>
      <c r="R64" s="118"/>
    </row>
    <row r="65" spans="2:18" ht="56.25">
      <c r="B65" s="116">
        <v>55</v>
      </c>
      <c r="C65" s="116">
        <v>55</v>
      </c>
      <c r="D65" s="116" t="s">
        <v>873</v>
      </c>
      <c r="E65" s="210" t="s">
        <v>928</v>
      </c>
      <c r="F65" s="210" t="s">
        <v>333</v>
      </c>
      <c r="G65" s="211" t="s">
        <v>333</v>
      </c>
      <c r="H65" s="163" t="str">
        <f t="shared" si="0"/>
        <v xml:space="preserve">ディシジョン(BL)
ディシジョンID=D-2.ディシジョンNO=53.ディシジョン名=BL実行(店別セール発注製品マスタ登録).ディシジョン概要=【結合条件不一致】製品世代マスタ.取扱フラグ(2桁目) = "1"出荷先世代マスタ.取扱フラグ(2桁目) = "2"
</v>
      </c>
      <c r="I65" s="212" t="s">
        <v>875</v>
      </c>
      <c r="J65" s="213"/>
      <c r="K65" s="214"/>
      <c r="L65" s="114"/>
      <c r="M65" s="114"/>
      <c r="N65" s="115"/>
      <c r="O65" s="117"/>
      <c r="P65" s="118"/>
      <c r="Q65" s="119"/>
      <c r="R65" s="118"/>
    </row>
    <row r="66" spans="2:18" ht="56.25">
      <c r="B66" s="116">
        <v>56</v>
      </c>
      <c r="C66" s="116">
        <v>56</v>
      </c>
      <c r="D66" s="116" t="s">
        <v>873</v>
      </c>
      <c r="E66" s="210" t="s">
        <v>929</v>
      </c>
      <c r="F66" s="210" t="s">
        <v>336</v>
      </c>
      <c r="G66" s="211" t="s">
        <v>336</v>
      </c>
      <c r="H66" s="163" t="str">
        <f t="shared" si="0"/>
        <v xml:space="preserve">ディシジョン(BL)
ディシジョンID=D-2.ディシジョンNO=54.ディシジョン名=BL実行(店別セール発注製品マスタ登録).ディシジョン概要=【設定値条件】製品世代マスタ.取扱フラグ(3桁目) = "2"
</v>
      </c>
      <c r="I66" s="212" t="s">
        <v>875</v>
      </c>
      <c r="J66" s="213"/>
      <c r="K66" s="214"/>
      <c r="L66" s="114"/>
      <c r="M66" s="114"/>
      <c r="N66" s="115"/>
      <c r="O66" s="117"/>
      <c r="P66" s="118"/>
      <c r="Q66" s="119"/>
      <c r="R66" s="118"/>
    </row>
    <row r="67" spans="2:18" ht="56.25">
      <c r="B67" s="116">
        <v>57</v>
      </c>
      <c r="C67" s="116">
        <v>57</v>
      </c>
      <c r="D67" s="116" t="s">
        <v>873</v>
      </c>
      <c r="E67" s="210" t="s">
        <v>930</v>
      </c>
      <c r="F67" s="210" t="s">
        <v>339</v>
      </c>
      <c r="G67" s="211" t="s">
        <v>339</v>
      </c>
      <c r="H67" s="163" t="str">
        <f t="shared" si="0"/>
        <v xml:space="preserve">ディシジョン(BL)
ディシジョンID=D-2.ディシジョンNO=55.ディシジョン名=BL実行(店別セール発注製品マスタ登録).ディシジョン概要=【結合条件不一致】製品世代マスタ.取扱フラグ(3桁目) = "1"出荷先世代マスタ.取扱フラグ(3桁目) = "2"
</v>
      </c>
      <c r="I67" s="212" t="s">
        <v>875</v>
      </c>
      <c r="J67" s="213"/>
      <c r="K67" s="214"/>
      <c r="L67" s="114"/>
      <c r="M67" s="114"/>
      <c r="N67" s="115"/>
      <c r="O67" s="117"/>
      <c r="P67" s="118"/>
      <c r="Q67" s="119"/>
      <c r="R67" s="118"/>
    </row>
    <row r="68" spans="2:18" ht="56.25">
      <c r="B68" s="116">
        <v>58</v>
      </c>
      <c r="C68" s="116">
        <v>58</v>
      </c>
      <c r="D68" s="116" t="s">
        <v>873</v>
      </c>
      <c r="E68" s="210" t="s">
        <v>931</v>
      </c>
      <c r="F68" s="210" t="s">
        <v>342</v>
      </c>
      <c r="G68" s="211" t="s">
        <v>342</v>
      </c>
      <c r="H68" s="163" t="str">
        <f t="shared" si="0"/>
        <v xml:space="preserve">ディシジョン(BL)
ディシジョンID=D-2.ディシジョンNO=56.ディシジョン名=BL実行(店別セール発注製品マスタ登録).ディシジョン概要=【設定値条件】製品世代マスタ.取扱フラグ(4桁目) = "2"
</v>
      </c>
      <c r="I68" s="212" t="s">
        <v>875</v>
      </c>
      <c r="J68" s="213"/>
      <c r="K68" s="214"/>
      <c r="L68" s="114"/>
      <c r="M68" s="114"/>
      <c r="N68" s="115"/>
      <c r="O68" s="117"/>
      <c r="P68" s="118"/>
      <c r="Q68" s="119"/>
      <c r="R68" s="118"/>
    </row>
    <row r="69" spans="2:18" ht="56.25">
      <c r="B69" s="116">
        <v>59</v>
      </c>
      <c r="C69" s="116">
        <v>59</v>
      </c>
      <c r="D69" s="116" t="s">
        <v>873</v>
      </c>
      <c r="E69" s="210" t="s">
        <v>932</v>
      </c>
      <c r="F69" s="210" t="s">
        <v>345</v>
      </c>
      <c r="G69" s="211" t="s">
        <v>345</v>
      </c>
      <c r="H69" s="163" t="str">
        <f t="shared" si="0"/>
        <v xml:space="preserve">ディシジョン(BL)
ディシジョンID=D-2.ディシジョンNO=57.ディシジョン名=BL実行(店別セール発注製品マスタ登録).ディシジョン概要=【結合条件不一致】製品世代マスタ.取扱フラグ(4桁目) = "1"出荷先世代マスタ.取扱フラグ(4桁目) = "2"
</v>
      </c>
      <c r="I69" s="212" t="s">
        <v>875</v>
      </c>
      <c r="J69" s="213"/>
      <c r="K69" s="214"/>
      <c r="L69" s="114"/>
      <c r="M69" s="114"/>
      <c r="N69" s="115"/>
      <c r="O69" s="117"/>
      <c r="P69" s="118"/>
      <c r="Q69" s="119"/>
      <c r="R69" s="118"/>
    </row>
    <row r="70" spans="2:18" ht="56.25">
      <c r="B70" s="116">
        <v>60</v>
      </c>
      <c r="C70" s="116">
        <v>60</v>
      </c>
      <c r="D70" s="116" t="s">
        <v>873</v>
      </c>
      <c r="E70" s="210" t="s">
        <v>933</v>
      </c>
      <c r="F70" s="210" t="s">
        <v>348</v>
      </c>
      <c r="G70" s="211" t="s">
        <v>348</v>
      </c>
      <c r="H70" s="163" t="str">
        <f t="shared" si="0"/>
        <v xml:space="preserve">ディシジョン(BL)
ディシジョンID=D-2.ディシジョンNO=58.ディシジョン名=BL実行(店別セール発注製品マスタ登録).ディシジョン概要=【設定値条件】製品世代マスタ.取扱フラグ(5桁目) = "2"
</v>
      </c>
      <c r="I70" s="212" t="s">
        <v>875</v>
      </c>
      <c r="J70" s="213"/>
      <c r="K70" s="214"/>
      <c r="L70" s="114"/>
      <c r="M70" s="114"/>
      <c r="N70" s="115"/>
      <c r="O70" s="117"/>
      <c r="P70" s="118"/>
      <c r="Q70" s="119"/>
      <c r="R70" s="118"/>
    </row>
    <row r="71" spans="2:18" ht="56.25">
      <c r="B71" s="116">
        <v>61</v>
      </c>
      <c r="C71" s="116">
        <v>61</v>
      </c>
      <c r="D71" s="116" t="s">
        <v>873</v>
      </c>
      <c r="E71" s="210" t="s">
        <v>934</v>
      </c>
      <c r="F71" s="210" t="s">
        <v>351</v>
      </c>
      <c r="G71" s="211" t="s">
        <v>351</v>
      </c>
      <c r="H71" s="163" t="str">
        <f t="shared" si="0"/>
        <v xml:space="preserve">ディシジョン(BL)
ディシジョンID=D-2.ディシジョンNO=59.ディシジョン名=BL実行(店別セール発注製品マスタ登録).ディシジョン概要=【結合条件不一致】製品世代マスタ.取扱フラグ(5桁目) = "1"出荷先世代マスタ.取扱フラグ(5桁目) = "2"
</v>
      </c>
      <c r="I71" s="212" t="s">
        <v>875</v>
      </c>
      <c r="J71" s="213"/>
      <c r="K71" s="214"/>
      <c r="L71" s="114"/>
      <c r="M71" s="114"/>
      <c r="N71" s="115"/>
      <c r="O71" s="117"/>
      <c r="P71" s="118"/>
      <c r="Q71" s="119"/>
      <c r="R71" s="118"/>
    </row>
    <row r="72" spans="2:18" ht="56.25">
      <c r="B72" s="116">
        <v>62</v>
      </c>
      <c r="C72" s="116">
        <v>62</v>
      </c>
      <c r="D72" s="116" t="s">
        <v>873</v>
      </c>
      <c r="E72" s="210" t="s">
        <v>935</v>
      </c>
      <c r="F72" s="210" t="s">
        <v>354</v>
      </c>
      <c r="G72" s="211" t="s">
        <v>354</v>
      </c>
      <c r="H72" s="163" t="str">
        <f t="shared" si="0"/>
        <v xml:space="preserve">ディシジョン(BL)
ディシジョンID=D-2.ディシジョンNO=60.ディシジョン名=BL実行(店別セール発注製品マスタ登録).ディシジョン概要=【設定値条件】製品世代マスタ.取扱フラグ(6桁目) = "2"
</v>
      </c>
      <c r="I72" s="212" t="s">
        <v>875</v>
      </c>
      <c r="J72" s="213"/>
      <c r="K72" s="214"/>
      <c r="L72" s="114"/>
      <c r="M72" s="114"/>
      <c r="N72" s="115"/>
      <c r="O72" s="117"/>
      <c r="P72" s="118"/>
      <c r="Q72" s="119"/>
      <c r="R72" s="118"/>
    </row>
    <row r="73" spans="2:18" ht="56.25">
      <c r="B73" s="116">
        <v>63</v>
      </c>
      <c r="C73" s="116">
        <v>63</v>
      </c>
      <c r="D73" s="116" t="s">
        <v>873</v>
      </c>
      <c r="E73" s="210" t="s">
        <v>936</v>
      </c>
      <c r="F73" s="210" t="s">
        <v>357</v>
      </c>
      <c r="G73" s="211" t="s">
        <v>357</v>
      </c>
      <c r="H73" s="163" t="str">
        <f t="shared" si="0"/>
        <v xml:space="preserve">ディシジョン(BL)
ディシジョンID=D-2.ディシジョンNO=61.ディシジョン名=BL実行(店別セール発注製品マスタ登録).ディシジョン概要=【結合条件不一致】製品世代マスタ.取扱フラグ(6桁目) = "1"出荷先世代マスタ.取扱フラグ(6桁目) = "2"
</v>
      </c>
      <c r="I73" s="212" t="s">
        <v>875</v>
      </c>
      <c r="J73" s="213"/>
      <c r="K73" s="214"/>
      <c r="L73" s="114"/>
      <c r="M73" s="114"/>
      <c r="N73" s="115"/>
      <c r="O73" s="117"/>
      <c r="P73" s="118"/>
      <c r="Q73" s="119"/>
      <c r="R73" s="118"/>
    </row>
    <row r="74" spans="2:18" ht="56.25">
      <c r="B74" s="116">
        <v>64</v>
      </c>
      <c r="C74" s="116">
        <v>64</v>
      </c>
      <c r="D74" s="116" t="s">
        <v>873</v>
      </c>
      <c r="E74" s="210" t="s">
        <v>937</v>
      </c>
      <c r="F74" s="210" t="s">
        <v>360</v>
      </c>
      <c r="G74" s="211" t="s">
        <v>360</v>
      </c>
      <c r="H74" s="163" t="str">
        <f t="shared" ref="H74:H128" si="1">IF($E74&lt;&gt;"", $E74, $I74)</f>
        <v xml:space="preserve">ディシジョン(BL)
ディシジョンID=D-2.ディシジョンNO=62.ディシジョン名=BL実行(店別セール発注製品マスタ登録).ディシジョン概要=【設定値条件】製品世代マスタ.取扱フラグ(7桁目) = "2"
</v>
      </c>
      <c r="I74" s="212" t="s">
        <v>875</v>
      </c>
      <c r="J74" s="213"/>
      <c r="K74" s="214"/>
      <c r="L74" s="114"/>
      <c r="M74" s="114"/>
      <c r="N74" s="115"/>
      <c r="O74" s="117"/>
      <c r="P74" s="118"/>
      <c r="Q74" s="119"/>
      <c r="R74" s="118"/>
    </row>
    <row r="75" spans="2:18" ht="56.25">
      <c r="B75" s="116">
        <v>65</v>
      </c>
      <c r="C75" s="116">
        <v>65</v>
      </c>
      <c r="D75" s="116" t="s">
        <v>873</v>
      </c>
      <c r="E75" s="210" t="s">
        <v>938</v>
      </c>
      <c r="F75" s="210" t="s">
        <v>363</v>
      </c>
      <c r="G75" s="211" t="s">
        <v>363</v>
      </c>
      <c r="H75" s="163" t="str">
        <f t="shared" si="1"/>
        <v xml:space="preserve">ディシジョン(BL)
ディシジョンID=D-2.ディシジョンNO=63.ディシジョン名=BL実行(店別セール発注製品マスタ登録).ディシジョン概要=【結合条件不一致】製品世代マスタ.取扱フラグ(7桁目) = "1"出荷先世代マスタ.取扱フラグ(7桁目) = "2"
</v>
      </c>
      <c r="I75" s="212" t="s">
        <v>875</v>
      </c>
      <c r="J75" s="213"/>
      <c r="K75" s="214"/>
      <c r="L75" s="114"/>
      <c r="M75" s="114"/>
      <c r="N75" s="115"/>
      <c r="O75" s="117"/>
      <c r="P75" s="118"/>
      <c r="Q75" s="119"/>
      <c r="R75" s="118"/>
    </row>
    <row r="76" spans="2:18" ht="56.25">
      <c r="B76" s="116">
        <v>66</v>
      </c>
      <c r="C76" s="116">
        <v>66</v>
      </c>
      <c r="D76" s="116" t="s">
        <v>873</v>
      </c>
      <c r="E76" s="210" t="s">
        <v>939</v>
      </c>
      <c r="F76" s="210" t="s">
        <v>366</v>
      </c>
      <c r="G76" s="211" t="s">
        <v>366</v>
      </c>
      <c r="H76" s="163" t="str">
        <f t="shared" si="1"/>
        <v xml:space="preserve">ディシジョン(BL)
ディシジョンID=D-2.ディシジョンNO=64.ディシジョン名=BL実行(店別セール発注製品マスタ登録).ディシジョン概要=【設定値条件】製品世代マスタ.取扱フラグ(8桁目) = "2"
</v>
      </c>
      <c r="I76" s="212" t="s">
        <v>875</v>
      </c>
      <c r="J76" s="213"/>
      <c r="K76" s="214"/>
      <c r="L76" s="114"/>
      <c r="M76" s="114"/>
      <c r="N76" s="115"/>
      <c r="O76" s="117"/>
      <c r="P76" s="118"/>
      <c r="Q76" s="119"/>
      <c r="R76" s="118"/>
    </row>
    <row r="77" spans="2:18" ht="56.25">
      <c r="B77" s="116">
        <v>67</v>
      </c>
      <c r="C77" s="116">
        <v>67</v>
      </c>
      <c r="D77" s="116" t="s">
        <v>873</v>
      </c>
      <c r="E77" s="210" t="s">
        <v>940</v>
      </c>
      <c r="F77" s="210" t="s">
        <v>368</v>
      </c>
      <c r="G77" s="211" t="s">
        <v>368</v>
      </c>
      <c r="H77" s="163" t="str">
        <f t="shared" si="1"/>
        <v xml:space="preserve">ディシジョン(BL)
ディシジョンID=D-2.ディシジョンNO=65.ディシジョン名=BL実行(店別セール発注製品マスタ登録).ディシジョン概要=【結合条件不一致】製品世代マスタ.取扱フラグ(8桁目) = "1"出荷先世代マスタ.取扱フラグ(8桁目) = "2"
</v>
      </c>
      <c r="I77" s="212" t="s">
        <v>875</v>
      </c>
      <c r="J77" s="213"/>
      <c r="K77" s="214"/>
      <c r="L77" s="114"/>
      <c r="M77" s="114"/>
      <c r="N77" s="115"/>
      <c r="O77" s="117"/>
      <c r="P77" s="118"/>
      <c r="Q77" s="119"/>
      <c r="R77" s="118"/>
    </row>
    <row r="78" spans="2:18" ht="56.25">
      <c r="B78" s="116">
        <v>68</v>
      </c>
      <c r="C78" s="116">
        <v>68</v>
      </c>
      <c r="D78" s="116" t="s">
        <v>873</v>
      </c>
      <c r="E78" s="210" t="s">
        <v>941</v>
      </c>
      <c r="F78" s="210" t="s">
        <v>371</v>
      </c>
      <c r="G78" s="211" t="s">
        <v>371</v>
      </c>
      <c r="H78" s="163" t="str">
        <f t="shared" si="1"/>
        <v xml:space="preserve">ディシジョン(BL)
ディシジョンID=D-2.ディシジョンNO=66.ディシジョン名=BL実行(店別セール発注製品マスタ登録).ディシジョン概要=【設定値条件】製品世代マスタ.取扱フラグ(17桁目) = "2"
</v>
      </c>
      <c r="I78" s="212" t="s">
        <v>875</v>
      </c>
      <c r="J78" s="213"/>
      <c r="K78" s="214"/>
      <c r="L78" s="114"/>
      <c r="M78" s="114"/>
      <c r="N78" s="115"/>
      <c r="O78" s="117"/>
      <c r="P78" s="118"/>
      <c r="Q78" s="119"/>
      <c r="R78" s="118"/>
    </row>
    <row r="79" spans="2:18" ht="56.25">
      <c r="B79" s="116">
        <v>69</v>
      </c>
      <c r="C79" s="116">
        <v>69</v>
      </c>
      <c r="D79" s="116" t="s">
        <v>873</v>
      </c>
      <c r="E79" s="210" t="s">
        <v>942</v>
      </c>
      <c r="F79" s="210" t="s">
        <v>374</v>
      </c>
      <c r="G79" s="211" t="s">
        <v>374</v>
      </c>
      <c r="H79" s="163" t="str">
        <f t="shared" si="1"/>
        <v xml:space="preserve">ディシジョン(BL)
ディシジョンID=D-2.ディシジョンNO=67.ディシジョン名=BL実行(店別セール発注製品マスタ登録).ディシジョン概要=【結合条件不一致】製品世代マスタ.取扱フラグ(17桁目) = "1"出荷先世代マスタ.取扱フラグ(17桁目) = "2"
</v>
      </c>
      <c r="I79" s="212" t="s">
        <v>875</v>
      </c>
      <c r="J79" s="213"/>
      <c r="K79" s="214"/>
      <c r="L79" s="114"/>
      <c r="M79" s="114"/>
      <c r="N79" s="115"/>
      <c r="O79" s="117"/>
      <c r="P79" s="118"/>
      <c r="Q79" s="119"/>
      <c r="R79" s="118"/>
    </row>
    <row r="80" spans="2:18" ht="56.25">
      <c r="B80" s="116">
        <v>70</v>
      </c>
      <c r="C80" s="116">
        <v>70</v>
      </c>
      <c r="D80" s="116" t="s">
        <v>873</v>
      </c>
      <c r="E80" s="210" t="s">
        <v>943</v>
      </c>
      <c r="F80" s="210" t="s">
        <v>377</v>
      </c>
      <c r="G80" s="211" t="s">
        <v>377</v>
      </c>
      <c r="H80" s="163" t="str">
        <f t="shared" si="1"/>
        <v xml:space="preserve">ディシジョン(BL)
ディシジョンID=D-2.ディシジョンNO=68.ディシジョン名=BL実行(店別セール発注製品マスタ登録).ディシジョン概要=【設定値条件】製品世代マスタ.取扱フラグ(18桁目) = "2"
</v>
      </c>
      <c r="I80" s="212" t="s">
        <v>875</v>
      </c>
      <c r="J80" s="213"/>
      <c r="K80" s="214"/>
      <c r="L80" s="114"/>
      <c r="M80" s="114"/>
      <c r="N80" s="115"/>
      <c r="O80" s="117"/>
      <c r="P80" s="118"/>
      <c r="Q80" s="119"/>
      <c r="R80" s="118"/>
    </row>
    <row r="81" spans="2:18" ht="56.25">
      <c r="B81" s="116">
        <v>71</v>
      </c>
      <c r="C81" s="116">
        <v>71</v>
      </c>
      <c r="D81" s="116" t="s">
        <v>873</v>
      </c>
      <c r="E81" s="210" t="s">
        <v>944</v>
      </c>
      <c r="F81" s="210" t="s">
        <v>380</v>
      </c>
      <c r="G81" s="211" t="s">
        <v>380</v>
      </c>
      <c r="H81" s="163" t="str">
        <f t="shared" si="1"/>
        <v xml:space="preserve">ディシジョン(BL)
ディシジョンID=D-2.ディシジョンNO=69.ディシジョン名=BL実行(店別セール発注製品マスタ登録).ディシジョン概要=【結合条件不一致】製品世代マスタ.取扱フラグ(18桁目) = "1"出荷先世代マスタ.取扱フラグ(18桁目) = "2"
</v>
      </c>
      <c r="I81" s="212" t="s">
        <v>875</v>
      </c>
      <c r="J81" s="213"/>
      <c r="K81" s="214"/>
      <c r="L81" s="114"/>
      <c r="M81" s="114"/>
      <c r="N81" s="115"/>
      <c r="O81" s="117"/>
      <c r="P81" s="118"/>
      <c r="Q81" s="119"/>
      <c r="R81" s="118"/>
    </row>
    <row r="82" spans="2:18" ht="56.25">
      <c r="B82" s="116">
        <v>72</v>
      </c>
      <c r="C82" s="116">
        <v>72</v>
      </c>
      <c r="D82" s="116" t="s">
        <v>873</v>
      </c>
      <c r="E82" s="210" t="s">
        <v>945</v>
      </c>
      <c r="F82" s="210" t="s">
        <v>383</v>
      </c>
      <c r="G82" s="211" t="s">
        <v>383</v>
      </c>
      <c r="H82" s="163" t="str">
        <f t="shared" si="1"/>
        <v xml:space="preserve">ディシジョン(BL)
ディシジョンID=D-2.ディシジョンNO=70.ディシジョン名=BL実行(店別セール発注製品マスタ登録).ディシジョン概要=【設定値条件】製品世代マスタ.取扱フラグ(19桁目) = "2"
</v>
      </c>
      <c r="I82" s="212" t="s">
        <v>875</v>
      </c>
      <c r="J82" s="213"/>
      <c r="K82" s="214"/>
      <c r="L82" s="114"/>
      <c r="M82" s="114"/>
      <c r="N82" s="115"/>
      <c r="O82" s="117"/>
      <c r="P82" s="118"/>
      <c r="Q82" s="119"/>
      <c r="R82" s="118"/>
    </row>
    <row r="83" spans="2:18" ht="56.25">
      <c r="B83" s="116">
        <v>73</v>
      </c>
      <c r="C83" s="116">
        <v>73</v>
      </c>
      <c r="D83" s="116" t="s">
        <v>873</v>
      </c>
      <c r="E83" s="210" t="s">
        <v>946</v>
      </c>
      <c r="F83" s="210" t="s">
        <v>386</v>
      </c>
      <c r="G83" s="211" t="s">
        <v>386</v>
      </c>
      <c r="H83" s="163" t="str">
        <f t="shared" si="1"/>
        <v xml:space="preserve">ディシジョン(BL)
ディシジョンID=D-2.ディシジョンNO=71.ディシジョン名=BL実行(店別セール発注製品マスタ登録).ディシジョン概要=【結合条件不一致】製品世代マスタ.取扱フラグ(19桁目) = "1"出荷先世代マスタ.取扱フラグ(19桁目) = "2"
</v>
      </c>
      <c r="I83" s="212" t="s">
        <v>875</v>
      </c>
      <c r="J83" s="213"/>
      <c r="K83" s="214"/>
      <c r="L83" s="114"/>
      <c r="M83" s="114"/>
      <c r="N83" s="115"/>
      <c r="O83" s="117"/>
      <c r="P83" s="118"/>
      <c r="Q83" s="119"/>
      <c r="R83" s="118"/>
    </row>
    <row r="84" spans="2:18" ht="56.25">
      <c r="B84" s="116">
        <v>74</v>
      </c>
      <c r="C84" s="116">
        <v>74</v>
      </c>
      <c r="D84" s="116" t="s">
        <v>873</v>
      </c>
      <c r="E84" s="210" t="s">
        <v>947</v>
      </c>
      <c r="F84" s="210" t="s">
        <v>389</v>
      </c>
      <c r="G84" s="211" t="s">
        <v>389</v>
      </c>
      <c r="H84" s="163" t="str">
        <f t="shared" si="1"/>
        <v xml:space="preserve">ディシジョン(BL)
ディシジョンID=D-2.ディシジョンNO=72.ディシジョン名=BL実行(店別セール発注製品マスタ登録).ディシジョン概要=【設定値条件】製品世代マスタ.取扱フラグ(20桁目) = "2"
</v>
      </c>
      <c r="I84" s="212" t="s">
        <v>875</v>
      </c>
      <c r="J84" s="213"/>
      <c r="K84" s="214"/>
      <c r="L84" s="114"/>
      <c r="M84" s="114"/>
      <c r="N84" s="115"/>
      <c r="O84" s="117"/>
      <c r="P84" s="118"/>
      <c r="Q84" s="119"/>
      <c r="R84" s="118"/>
    </row>
    <row r="85" spans="2:18" ht="56.25">
      <c r="B85" s="116">
        <v>75</v>
      </c>
      <c r="C85" s="116">
        <v>75</v>
      </c>
      <c r="D85" s="116" t="s">
        <v>873</v>
      </c>
      <c r="E85" s="210" t="s">
        <v>948</v>
      </c>
      <c r="F85" s="210" t="s">
        <v>392</v>
      </c>
      <c r="G85" s="211" t="s">
        <v>392</v>
      </c>
      <c r="H85" s="163" t="str">
        <f t="shared" si="1"/>
        <v xml:space="preserve">ディシジョン(BL)
ディシジョンID=D-2.ディシジョンNO=73.ディシジョン名=BL実行(店別セール発注製品マスタ登録).ディシジョン概要=【結合条件不一致】製品世代マスタ.取扱フラグ(20桁目) = "1"出荷先世代マスタ.取扱フラグ(20桁目) = "2"
</v>
      </c>
      <c r="I85" s="212" t="s">
        <v>875</v>
      </c>
      <c r="J85" s="213"/>
      <c r="K85" s="214"/>
      <c r="L85" s="114"/>
      <c r="M85" s="114"/>
      <c r="N85" s="115"/>
      <c r="O85" s="117"/>
      <c r="P85" s="118"/>
      <c r="Q85" s="119"/>
      <c r="R85" s="118"/>
    </row>
    <row r="86" spans="2:18" ht="56.25">
      <c r="B86" s="116">
        <v>76</v>
      </c>
      <c r="C86" s="116">
        <v>76</v>
      </c>
      <c r="D86" s="116" t="s">
        <v>873</v>
      </c>
      <c r="E86" s="210" t="s">
        <v>949</v>
      </c>
      <c r="F86" s="210" t="s">
        <v>395</v>
      </c>
      <c r="G86" s="211" t="s">
        <v>395</v>
      </c>
      <c r="H86" s="163" t="str">
        <f t="shared" si="1"/>
        <v xml:space="preserve">ディシジョン(BL)
ディシジョンID=D-2.ディシジョンNO=74.ディシジョン名=BL実行(店別セール発注製品マスタ登録).ディシジョン概要=【設定値条件】製品世代マスタ.取扱フラグ(21桁目) = "2"
</v>
      </c>
      <c r="I86" s="212" t="s">
        <v>875</v>
      </c>
      <c r="J86" s="213"/>
      <c r="K86" s="214"/>
      <c r="L86" s="114"/>
      <c r="M86" s="114"/>
      <c r="N86" s="115"/>
      <c r="O86" s="117"/>
      <c r="P86" s="118"/>
      <c r="Q86" s="119"/>
      <c r="R86" s="118"/>
    </row>
    <row r="87" spans="2:18" ht="56.25">
      <c r="B87" s="116">
        <v>77</v>
      </c>
      <c r="C87" s="116">
        <v>77</v>
      </c>
      <c r="D87" s="116" t="s">
        <v>873</v>
      </c>
      <c r="E87" s="210" t="s">
        <v>950</v>
      </c>
      <c r="F87" s="210" t="s">
        <v>398</v>
      </c>
      <c r="G87" s="211" t="s">
        <v>398</v>
      </c>
      <c r="H87" s="163" t="str">
        <f t="shared" si="1"/>
        <v xml:space="preserve">ディシジョン(BL)
ディシジョンID=D-2.ディシジョンNO=75.ディシジョン名=BL実行(店別セール発注製品マスタ登録).ディシジョン概要=【結合条件不一致】製品世代マスタ.取扱フラグ(21桁目) = "1"出荷先世代マスタ.取扱フラグ(21桁目) = "2"
</v>
      </c>
      <c r="I87" s="212" t="s">
        <v>875</v>
      </c>
      <c r="J87" s="213"/>
      <c r="K87" s="214"/>
      <c r="L87" s="114"/>
      <c r="M87" s="114"/>
      <c r="N87" s="115"/>
      <c r="O87" s="117"/>
      <c r="P87" s="118"/>
      <c r="Q87" s="119"/>
      <c r="R87" s="118"/>
    </row>
    <row r="88" spans="2:18" ht="56.25">
      <c r="B88" s="116">
        <v>78</v>
      </c>
      <c r="C88" s="116">
        <v>78</v>
      </c>
      <c r="D88" s="116" t="s">
        <v>873</v>
      </c>
      <c r="E88" s="210" t="s">
        <v>951</v>
      </c>
      <c r="F88" s="210" t="s">
        <v>401</v>
      </c>
      <c r="G88" s="211" t="s">
        <v>401</v>
      </c>
      <c r="H88" s="163" t="str">
        <f t="shared" si="1"/>
        <v xml:space="preserve">ディシジョン(BL)
ディシジョンID=D-2.ディシジョンNO=76.ディシジョン名=BL実行(店別セール発注製品マスタ登録).ディシジョン概要=【設定値条件】製品世代マスタ.取扱フラグ(22桁目) = "2"
</v>
      </c>
      <c r="I88" s="212" t="s">
        <v>875</v>
      </c>
      <c r="J88" s="213"/>
      <c r="K88" s="214"/>
      <c r="L88" s="114"/>
      <c r="M88" s="114"/>
      <c r="N88" s="115"/>
      <c r="O88" s="117"/>
      <c r="P88" s="118"/>
      <c r="Q88" s="119"/>
      <c r="R88" s="118"/>
    </row>
    <row r="89" spans="2:18" ht="56.25">
      <c r="B89" s="116">
        <v>79</v>
      </c>
      <c r="C89" s="116">
        <v>79</v>
      </c>
      <c r="D89" s="116" t="s">
        <v>873</v>
      </c>
      <c r="E89" s="210" t="s">
        <v>952</v>
      </c>
      <c r="F89" s="210" t="s">
        <v>404</v>
      </c>
      <c r="G89" s="211" t="s">
        <v>404</v>
      </c>
      <c r="H89" s="163" t="str">
        <f t="shared" si="1"/>
        <v xml:space="preserve">ディシジョン(BL)
ディシジョンID=D-2.ディシジョンNO=77.ディシジョン名=BL実行(店別セール発注製品マスタ登録).ディシジョン概要=【結合条件不一致】製品世代マスタ.取扱フラグ(22桁目) = "1"出荷先世代マスタ.取扱フラグ(22桁目) = "2"
</v>
      </c>
      <c r="I89" s="212" t="s">
        <v>875</v>
      </c>
      <c r="J89" s="213"/>
      <c r="K89" s="214"/>
      <c r="L89" s="114"/>
      <c r="M89" s="114"/>
      <c r="N89" s="115"/>
      <c r="O89" s="117"/>
      <c r="P89" s="118"/>
      <c r="Q89" s="119"/>
      <c r="R89" s="118"/>
    </row>
    <row r="90" spans="2:18" ht="56.25">
      <c r="B90" s="116">
        <v>80</v>
      </c>
      <c r="C90" s="116">
        <v>80</v>
      </c>
      <c r="D90" s="116" t="s">
        <v>873</v>
      </c>
      <c r="E90" s="210" t="s">
        <v>953</v>
      </c>
      <c r="F90" s="210" t="s">
        <v>407</v>
      </c>
      <c r="G90" s="211" t="s">
        <v>407</v>
      </c>
      <c r="H90" s="163" t="str">
        <f t="shared" si="1"/>
        <v xml:space="preserve">ディシジョン(BL)
ディシジョンID=D-2.ディシジョンNO=78.ディシジョン名=BL実行(店別セール発注製品マスタ登録).ディシジョン概要=【設定値条件】製品世代マスタ.取扱フラグ(23桁目) = "2"
</v>
      </c>
      <c r="I90" s="212" t="s">
        <v>875</v>
      </c>
      <c r="J90" s="213"/>
      <c r="K90" s="214"/>
      <c r="L90" s="114"/>
      <c r="M90" s="114"/>
      <c r="N90" s="115"/>
      <c r="O90" s="117"/>
      <c r="P90" s="118"/>
      <c r="Q90" s="119"/>
      <c r="R90" s="118"/>
    </row>
    <row r="91" spans="2:18" ht="56.25">
      <c r="B91" s="116">
        <v>81</v>
      </c>
      <c r="C91" s="116">
        <v>81</v>
      </c>
      <c r="D91" s="116" t="s">
        <v>873</v>
      </c>
      <c r="E91" s="210" t="s">
        <v>954</v>
      </c>
      <c r="F91" s="210" t="s">
        <v>410</v>
      </c>
      <c r="G91" s="211" t="s">
        <v>410</v>
      </c>
      <c r="H91" s="163" t="str">
        <f t="shared" si="1"/>
        <v xml:space="preserve">ディシジョン(BL)
ディシジョンID=D-2.ディシジョンNO=79.ディシジョン名=BL実行(店別セール発注製品マスタ登録).ディシジョン概要=【結合条件不一致】製品世代マスタ.取扱フラグ(23桁目) = "1"出荷先世代マスタ.取扱フラグ(23桁目) = "2"
</v>
      </c>
      <c r="I91" s="212" t="s">
        <v>875</v>
      </c>
      <c r="J91" s="213"/>
      <c r="K91" s="214"/>
      <c r="L91" s="114"/>
      <c r="M91" s="114"/>
      <c r="N91" s="115"/>
      <c r="O91" s="117"/>
      <c r="P91" s="118"/>
      <c r="Q91" s="119"/>
      <c r="R91" s="118"/>
    </row>
    <row r="92" spans="2:18" ht="56.25">
      <c r="B92" s="116">
        <v>82</v>
      </c>
      <c r="C92" s="116">
        <v>82</v>
      </c>
      <c r="D92" s="116" t="s">
        <v>873</v>
      </c>
      <c r="E92" s="210" t="s">
        <v>955</v>
      </c>
      <c r="F92" s="210" t="s">
        <v>413</v>
      </c>
      <c r="G92" s="211" t="s">
        <v>413</v>
      </c>
      <c r="H92" s="163" t="str">
        <f t="shared" si="1"/>
        <v xml:space="preserve">ディシジョン(BL)
ディシジョンID=D-2.ディシジョンNO=80.ディシジョン名=BL実行(店別セール発注製品マスタ登録).ディシジョン概要=【設定値条件】製品世代マスタ.取扱フラグ(24桁目) = "2"
</v>
      </c>
      <c r="I92" s="212" t="s">
        <v>875</v>
      </c>
      <c r="J92" s="213"/>
      <c r="K92" s="214"/>
      <c r="L92" s="114"/>
      <c r="M92" s="114"/>
      <c r="N92" s="115"/>
      <c r="O92" s="117"/>
      <c r="P92" s="118"/>
      <c r="Q92" s="119"/>
      <c r="R92" s="118"/>
    </row>
    <row r="93" spans="2:18" ht="56.25">
      <c r="B93" s="116">
        <v>83</v>
      </c>
      <c r="C93" s="116">
        <v>83</v>
      </c>
      <c r="D93" s="116" t="s">
        <v>873</v>
      </c>
      <c r="E93" s="210" t="s">
        <v>956</v>
      </c>
      <c r="F93" s="210" t="s">
        <v>416</v>
      </c>
      <c r="G93" s="211" t="s">
        <v>416</v>
      </c>
      <c r="H93" s="163" t="str">
        <f t="shared" si="1"/>
        <v xml:space="preserve">ディシジョン(BL)
ディシジョンID=D-2.ディシジョンNO=81.ディシジョン名=BL実行(店別セール発注製品マスタ登録).ディシジョン概要=【結合条件不一致】製品世代マスタ.取扱フラグ(24桁目) = "1"出荷先世代マスタ.取扱フラグ(24桁目) = "2"
</v>
      </c>
      <c r="I93" s="212" t="s">
        <v>875</v>
      </c>
      <c r="J93" s="213"/>
      <c r="K93" s="214"/>
      <c r="L93" s="114"/>
      <c r="M93" s="114"/>
      <c r="N93" s="115"/>
      <c r="O93" s="117"/>
      <c r="P93" s="118"/>
      <c r="Q93" s="119"/>
      <c r="R93" s="118"/>
    </row>
    <row r="94" spans="2:18" ht="56.25">
      <c r="B94" s="116">
        <v>84</v>
      </c>
      <c r="C94" s="116">
        <v>84</v>
      </c>
      <c r="D94" s="116" t="s">
        <v>873</v>
      </c>
      <c r="E94" s="210" t="s">
        <v>957</v>
      </c>
      <c r="F94" s="210" t="s">
        <v>418</v>
      </c>
      <c r="G94" s="211" t="s">
        <v>418</v>
      </c>
      <c r="H94" s="163" t="str">
        <f t="shared" si="1"/>
        <v xml:space="preserve">ディシジョン(BL)
ディシジョンID=D-2.ディシジョンNO=82.ディシジョン名=BL実行(店別セール発注製品マスタ登録).ディシジョン概要=【結合条件不一致】店舗マスタ.レジデータ店舗IDと不一致
</v>
      </c>
      <c r="I94" s="212" t="s">
        <v>875</v>
      </c>
      <c r="J94" s="213"/>
      <c r="K94" s="214"/>
      <c r="L94" s="114"/>
      <c r="M94" s="114"/>
      <c r="N94" s="115"/>
      <c r="O94" s="117"/>
      <c r="P94" s="118"/>
      <c r="Q94" s="119"/>
      <c r="R94" s="118"/>
    </row>
    <row r="95" spans="2:18" ht="56.25">
      <c r="B95" s="116">
        <v>85</v>
      </c>
      <c r="C95" s="116">
        <v>85</v>
      </c>
      <c r="D95" s="116" t="s">
        <v>873</v>
      </c>
      <c r="E95" s="210" t="s">
        <v>958</v>
      </c>
      <c r="F95" s="210" t="s">
        <v>421</v>
      </c>
      <c r="G95" s="211" t="s">
        <v>421</v>
      </c>
      <c r="H95" s="163" t="str">
        <f t="shared" si="1"/>
        <v xml:space="preserve">ディシジョン(BL)
ディシジョンID=D-2.ディシジョンNO=83.ディシジョン名=BL実行(店別セール発注製品マスタ登録).ディシジョン概要=登録条件全一致レジデータ店舗マスタ.適用開始日 = セール発注製品マスタ.廻送日付開始(境界値)レジデータ店舗マスタ.適用終了日 = セール発注製品マスタ.廻送日付開始+1(Not境界値)
</v>
      </c>
      <c r="I95" s="212" t="s">
        <v>875</v>
      </c>
      <c r="J95" s="213"/>
      <c r="K95" s="214"/>
      <c r="L95" s="114"/>
      <c r="M95" s="114"/>
      <c r="N95" s="115"/>
      <c r="O95" s="117"/>
      <c r="P95" s="118"/>
      <c r="Q95" s="119"/>
      <c r="R95" s="118"/>
    </row>
    <row r="96" spans="2:18" ht="56.25">
      <c r="B96" s="116">
        <v>86</v>
      </c>
      <c r="C96" s="116">
        <v>86</v>
      </c>
      <c r="D96" s="116" t="s">
        <v>873</v>
      </c>
      <c r="E96" s="210" t="s">
        <v>959</v>
      </c>
      <c r="F96" s="210" t="s">
        <v>424</v>
      </c>
      <c r="G96" s="211" t="s">
        <v>424</v>
      </c>
      <c r="H96" s="163" t="str">
        <f t="shared" si="1"/>
        <v xml:space="preserve">ディシジョン(BL)
ディシジョンID=D-2.ディシジョンNO=84.ディシジョン名=BL実行(店別セール発注製品マスタ登録).ディシジョン概要=登録条件全一致レジデータ店舗マスタ.適用開始日 = セール発注製品マスタ.廻送日付開始-1(Not境界値)レジデータ店舗マスタ.適用終了日 = セール発注製品マスタ.廻送日付開始(境界値)
</v>
      </c>
      <c r="I96" s="212" t="s">
        <v>875</v>
      </c>
      <c r="J96" s="213"/>
      <c r="K96" s="214"/>
      <c r="L96" s="114"/>
      <c r="M96" s="114"/>
      <c r="N96" s="115"/>
      <c r="O96" s="117"/>
      <c r="P96" s="118"/>
      <c r="Q96" s="119"/>
      <c r="R96" s="118"/>
    </row>
    <row r="97" spans="2:18" ht="56.25">
      <c r="B97" s="116">
        <v>87</v>
      </c>
      <c r="C97" s="116">
        <v>87</v>
      </c>
      <c r="D97" s="116" t="s">
        <v>873</v>
      </c>
      <c r="E97" s="210" t="s">
        <v>960</v>
      </c>
      <c r="F97" s="210" t="s">
        <v>427</v>
      </c>
      <c r="G97" s="211" t="s">
        <v>427</v>
      </c>
      <c r="H97" s="163" t="str">
        <f t="shared" si="1"/>
        <v xml:space="preserve">ディシジョン(BL)
ディシジョンID=D-2.ディシジョンNO=85.ディシジョン名=BL実行(店別セール発注製品マスタ登録).ディシジョン概要=【結合条件不一致】レジデータ店舗マスタ.適用開始日 = セール発注製品マスタ.廻送日付開始+1レジデータ店舗マスタ.適用終了日 = セール発注製品マスタ.廻送日付開始+1
</v>
      </c>
      <c r="I97" s="212" t="s">
        <v>875</v>
      </c>
      <c r="J97" s="213"/>
      <c r="K97" s="214"/>
      <c r="L97" s="114"/>
      <c r="M97" s="114"/>
      <c r="N97" s="115"/>
      <c r="O97" s="117"/>
      <c r="P97" s="118"/>
      <c r="Q97" s="119"/>
      <c r="R97" s="118"/>
    </row>
    <row r="98" spans="2:18" ht="56.25">
      <c r="B98" s="116">
        <v>88</v>
      </c>
      <c r="C98" s="116">
        <v>88</v>
      </c>
      <c r="D98" s="116" t="s">
        <v>873</v>
      </c>
      <c r="E98" s="210" t="s">
        <v>961</v>
      </c>
      <c r="F98" s="210" t="s">
        <v>430</v>
      </c>
      <c r="G98" s="211" t="s">
        <v>430</v>
      </c>
      <c r="H98" s="163" t="str">
        <f t="shared" si="1"/>
        <v xml:space="preserve">ディシジョン(BL)
ディシジョンID=D-2.ディシジョンNO=86.ディシジョン名=BL実行(店別セール発注製品マスタ登録).ディシジョン概要=【結合条件不一致】レジデータ店舗マスタ.適用開始日 = セール発注製品マスタ.廻送日付開始-1レジデータ店舗マスタ.適用終了日 = セール発注製品マスタ.廻送日付開始-1
</v>
      </c>
      <c r="I98" s="212" t="s">
        <v>875</v>
      </c>
      <c r="J98" s="213"/>
      <c r="K98" s="214"/>
      <c r="L98" s="114"/>
      <c r="M98" s="114"/>
      <c r="N98" s="115"/>
      <c r="O98" s="117"/>
      <c r="P98" s="118"/>
      <c r="Q98" s="119"/>
      <c r="R98" s="118"/>
    </row>
    <row r="99" spans="2:18" ht="56.25">
      <c r="B99" s="116">
        <v>89</v>
      </c>
      <c r="C99" s="116">
        <v>89</v>
      </c>
      <c r="D99" s="116" t="s">
        <v>873</v>
      </c>
      <c r="E99" s="210" t="s">
        <v>962</v>
      </c>
      <c r="F99" s="210" t="s">
        <v>433</v>
      </c>
      <c r="G99" s="211" t="s">
        <v>433</v>
      </c>
      <c r="H99" s="163" t="str">
        <f t="shared" si="1"/>
        <v xml:space="preserve">ディシジョン(BL)
ディシジョンID=D-2.ディシジョンNO=87.ディシジョン名=BL実行(店別セール発注製品マスタ登録).ディシジョン概要=【結合条件不一致】店舗マスタ.計上先組織IDと不一致
</v>
      </c>
      <c r="I99" s="212" t="s">
        <v>875</v>
      </c>
      <c r="J99" s="213"/>
      <c r="K99" s="214"/>
      <c r="L99" s="114"/>
      <c r="M99" s="114"/>
      <c r="N99" s="115"/>
      <c r="O99" s="117"/>
      <c r="P99" s="118"/>
      <c r="Q99" s="119"/>
      <c r="R99" s="118"/>
    </row>
    <row r="100" spans="2:18" ht="56.25">
      <c r="B100" s="116">
        <v>90</v>
      </c>
      <c r="C100" s="116">
        <v>90</v>
      </c>
      <c r="D100" s="116" t="s">
        <v>873</v>
      </c>
      <c r="E100" s="210" t="s">
        <v>963</v>
      </c>
      <c r="F100" s="210" t="s">
        <v>436</v>
      </c>
      <c r="G100" s="211" t="s">
        <v>436</v>
      </c>
      <c r="H100" s="163" t="str">
        <f t="shared" si="1"/>
        <v xml:space="preserve">ディシジョン(BL)
ディシジョンID=D-2.ディシジョンNO=88.ディシジョン名=BL実行(店別セール発注製品マスタ登録).ディシジョン概要=登録条件全一致組織マスタ.適用開始日 = セール発注製品マスタ.廻送日付開始(境界値)組織マスタ.適用終了日 = セール発注製品マスタ.廻送日付開始+1(Not境界値)
</v>
      </c>
      <c r="I100" s="212" t="s">
        <v>875</v>
      </c>
      <c r="J100" s="213"/>
      <c r="K100" s="214"/>
      <c r="L100" s="114"/>
      <c r="M100" s="114"/>
      <c r="N100" s="115"/>
      <c r="O100" s="117"/>
      <c r="P100" s="118"/>
      <c r="Q100" s="119"/>
      <c r="R100" s="118"/>
    </row>
    <row r="101" spans="2:18" ht="56.25">
      <c r="B101" s="116">
        <v>91</v>
      </c>
      <c r="C101" s="116">
        <v>91</v>
      </c>
      <c r="D101" s="116" t="s">
        <v>873</v>
      </c>
      <c r="E101" s="210" t="s">
        <v>964</v>
      </c>
      <c r="F101" s="210" t="s">
        <v>439</v>
      </c>
      <c r="G101" s="211" t="s">
        <v>439</v>
      </c>
      <c r="H101" s="163" t="str">
        <f t="shared" si="1"/>
        <v xml:space="preserve">ディシジョン(BL)
ディシジョンID=D-2.ディシジョンNO=89.ディシジョン名=BL実行(店別セール発注製品マスタ登録).ディシジョン概要=登録条件全一致組織マスタ.適用開始日 = セール発注製品マスタ.廻送日付開始-1(Not境界値)組織マスタ.適用終了日 = セール発注製品マスタ.廻送日付開始(境界値)
</v>
      </c>
      <c r="I101" s="212" t="s">
        <v>875</v>
      </c>
      <c r="J101" s="213"/>
      <c r="K101" s="214"/>
      <c r="L101" s="114"/>
      <c r="M101" s="114"/>
      <c r="N101" s="115"/>
      <c r="O101" s="117"/>
      <c r="P101" s="118"/>
      <c r="Q101" s="119"/>
      <c r="R101" s="118"/>
    </row>
    <row r="102" spans="2:18" ht="56.25">
      <c r="B102" s="116">
        <v>92</v>
      </c>
      <c r="C102" s="116">
        <v>92</v>
      </c>
      <c r="D102" s="116" t="s">
        <v>873</v>
      </c>
      <c r="E102" s="210" t="s">
        <v>965</v>
      </c>
      <c r="F102" s="210" t="s">
        <v>442</v>
      </c>
      <c r="G102" s="211" t="s">
        <v>442</v>
      </c>
      <c r="H102" s="163" t="str">
        <f t="shared" si="1"/>
        <v xml:space="preserve">ディシジョン(BL)
ディシジョンID=D-2.ディシジョンNO=90.ディシジョン名=BL実行(店別セール発注製品マスタ登録).ディシジョン概要=【結合条件不一致】組織マスタ.適用開始日 = セール発注製品マスタ.廻送日付開始+1組織マスタ.適用終了日 = セール発注製品マスタ.廻送日付開始+1
</v>
      </c>
      <c r="I102" s="212" t="s">
        <v>875</v>
      </c>
      <c r="J102" s="213"/>
      <c r="K102" s="214"/>
      <c r="L102" s="114"/>
      <c r="M102" s="114"/>
      <c r="N102" s="115"/>
      <c r="O102" s="117"/>
      <c r="P102" s="118"/>
      <c r="Q102" s="119"/>
      <c r="R102" s="118"/>
    </row>
    <row r="103" spans="2:18" ht="56.25">
      <c r="B103" s="116">
        <v>93</v>
      </c>
      <c r="C103" s="116">
        <v>93</v>
      </c>
      <c r="D103" s="116" t="s">
        <v>873</v>
      </c>
      <c r="E103" s="210" t="s">
        <v>966</v>
      </c>
      <c r="F103" s="210" t="s">
        <v>445</v>
      </c>
      <c r="G103" s="211" t="s">
        <v>445</v>
      </c>
      <c r="H103" s="163" t="str">
        <f t="shared" si="1"/>
        <v xml:space="preserve">ディシジョン(BL)
ディシジョンID=D-2.ディシジョンNO=91.ディシジョン名=BL実行(店別セール発注製品マスタ登録).ディシジョン概要=【結合条件不一致】組織マスタ.適用開始日 = セール発注製品マスタ.廻送日付開始-1組織マスタ.適用終了日 = セール発注製品マスタ.廻送日付開始-1
</v>
      </c>
      <c r="I103" s="212" t="s">
        <v>875</v>
      </c>
      <c r="J103" s="213"/>
      <c r="K103" s="214"/>
      <c r="L103" s="114"/>
      <c r="M103" s="114"/>
      <c r="N103" s="115"/>
      <c r="O103" s="117"/>
      <c r="P103" s="118"/>
      <c r="Q103" s="119"/>
      <c r="R103" s="118"/>
    </row>
    <row r="104" spans="2:18" ht="56.25">
      <c r="B104" s="116">
        <v>94</v>
      </c>
      <c r="C104" s="116">
        <v>94</v>
      </c>
      <c r="D104" s="116" t="s">
        <v>873</v>
      </c>
      <c r="E104" s="210" t="s">
        <v>967</v>
      </c>
      <c r="F104" s="210" t="s">
        <v>448</v>
      </c>
      <c r="G104" s="211" t="s">
        <v>448</v>
      </c>
      <c r="H104" s="163" t="str">
        <f t="shared" si="1"/>
        <v xml:space="preserve">ディシジョン(BL)
ディシジョンID=D-2.ディシジョンNO=92.ディシジョン名=BL実行(店別セール発注製品マスタ登録).ディシジョン概要=【結合条件不一致】店舗形態別商品販売条件マスタ.店舗形態コードと不一致
</v>
      </c>
      <c r="I104" s="212" t="s">
        <v>875</v>
      </c>
      <c r="J104" s="213"/>
      <c r="K104" s="214"/>
      <c r="L104" s="114"/>
      <c r="M104" s="114"/>
      <c r="N104" s="115"/>
      <c r="O104" s="117"/>
      <c r="P104" s="118"/>
      <c r="Q104" s="119"/>
      <c r="R104" s="118"/>
    </row>
    <row r="105" spans="2:18" ht="56.25">
      <c r="B105" s="116">
        <v>95</v>
      </c>
      <c r="C105" s="116">
        <v>95</v>
      </c>
      <c r="D105" s="116" t="s">
        <v>873</v>
      </c>
      <c r="E105" s="210" t="s">
        <v>968</v>
      </c>
      <c r="F105" s="210" t="s">
        <v>451</v>
      </c>
      <c r="G105" s="211" t="s">
        <v>451</v>
      </c>
      <c r="H105" s="163" t="str">
        <f t="shared" si="1"/>
        <v xml:space="preserve">ディシジョン(BL)
ディシジョンID=D-2.ディシジョンNO=93.ディシジョン名=BL実行(店別セール発注製品マスタ登録).ディシジョン概要=【結合条件不一致】[区分値.組織廃止フラグ.活動中]と不一致
</v>
      </c>
      <c r="I105" s="212" t="s">
        <v>875</v>
      </c>
      <c r="J105" s="213"/>
      <c r="K105" s="214"/>
      <c r="L105" s="114"/>
      <c r="M105" s="114"/>
      <c r="N105" s="115"/>
      <c r="O105" s="117"/>
      <c r="P105" s="118"/>
      <c r="Q105" s="119"/>
      <c r="R105" s="118"/>
    </row>
    <row r="106" spans="2:18" ht="56.25">
      <c r="B106" s="116">
        <v>96</v>
      </c>
      <c r="C106" s="116">
        <v>96</v>
      </c>
      <c r="D106" s="116" t="s">
        <v>873</v>
      </c>
      <c r="E106" s="210" t="s">
        <v>969</v>
      </c>
      <c r="F106" s="210" t="s">
        <v>454</v>
      </c>
      <c r="G106" s="211" t="s">
        <v>454</v>
      </c>
      <c r="H106" s="163" t="str">
        <f t="shared" si="1"/>
        <v xml:space="preserve">ディシジョン(BL)
ディシジョンID=D-2.ディシジョンNO=94.ディシジョン名=BL実行(店別セール発注製品マスタ登録).ディシジョン概要=【設定値条件】出荷先世代.納品単価区分 = [区分値.納品単価区分.直営]
</v>
      </c>
      <c r="I106" s="212" t="s">
        <v>875</v>
      </c>
      <c r="J106" s="213"/>
      <c r="K106" s="214"/>
      <c r="L106" s="114"/>
      <c r="M106" s="114"/>
      <c r="N106" s="115"/>
      <c r="O106" s="117"/>
      <c r="P106" s="118"/>
      <c r="Q106" s="119"/>
      <c r="R106" s="118"/>
    </row>
    <row r="107" spans="2:18" ht="56.25">
      <c r="B107" s="116">
        <v>97</v>
      </c>
      <c r="C107" s="116">
        <v>97</v>
      </c>
      <c r="D107" s="116" t="s">
        <v>873</v>
      </c>
      <c r="E107" s="210" t="s">
        <v>970</v>
      </c>
      <c r="F107" s="210" t="s">
        <v>457</v>
      </c>
      <c r="G107" s="211" t="s">
        <v>457</v>
      </c>
      <c r="H107" s="163" t="str">
        <f t="shared" si="1"/>
        <v xml:space="preserve">ディシジョン(BL)
ディシジョンID=D-2.ディシジョンNO=95.ディシジョン名=BL実行(店別セール発注製品マスタ登録).ディシジョン概要=【設定値条件】出荷先世代.納品単価区分 = [区分値.納品単価区分.FC0]
</v>
      </c>
      <c r="I107" s="212" t="s">
        <v>875</v>
      </c>
      <c r="J107" s="213"/>
      <c r="K107" s="214"/>
      <c r="L107" s="114"/>
      <c r="M107" s="114"/>
      <c r="N107" s="115"/>
      <c r="O107" s="117"/>
      <c r="P107" s="118"/>
      <c r="Q107" s="119"/>
      <c r="R107" s="118"/>
    </row>
    <row r="108" spans="2:18" ht="56.25">
      <c r="B108" s="116">
        <v>98</v>
      </c>
      <c r="C108" s="116">
        <v>98</v>
      </c>
      <c r="D108" s="116" t="s">
        <v>873</v>
      </c>
      <c r="E108" s="210" t="s">
        <v>971</v>
      </c>
      <c r="F108" s="210" t="s">
        <v>460</v>
      </c>
      <c r="G108" s="211" t="s">
        <v>460</v>
      </c>
      <c r="H108" s="163" t="str">
        <f t="shared" si="1"/>
        <v xml:space="preserve">ディシジョン(BL)
ディシジョンID=D-2.ディシジョンNO=96.ディシジョン名=BL実行(店別セール発注製品マスタ登録).ディシジョン概要=【設定値条件】出荷先世代.納品単価区分 = [区分値.納品単価区分.FC1]
</v>
      </c>
      <c r="I108" s="212" t="s">
        <v>875</v>
      </c>
      <c r="J108" s="213"/>
      <c r="K108" s="214"/>
      <c r="L108" s="114"/>
      <c r="M108" s="114"/>
      <c r="N108" s="115"/>
      <c r="O108" s="117"/>
      <c r="P108" s="118"/>
      <c r="Q108" s="119"/>
      <c r="R108" s="118"/>
    </row>
    <row r="109" spans="2:18" ht="56.25">
      <c r="B109" s="116">
        <v>99</v>
      </c>
      <c r="C109" s="116">
        <v>99</v>
      </c>
      <c r="D109" s="116" t="s">
        <v>873</v>
      </c>
      <c r="E109" s="210" t="s">
        <v>972</v>
      </c>
      <c r="F109" s="210" t="s">
        <v>463</v>
      </c>
      <c r="G109" s="211" t="s">
        <v>463</v>
      </c>
      <c r="H109" s="163" t="str">
        <f t="shared" si="1"/>
        <v xml:space="preserve">ディシジョン(BL)
ディシジョンID=D-2.ディシジョンNO=97.ディシジョン名=BL実行(店別セール発注製品マスタ登録).ディシジョン概要=【設定値条件】出荷先世代.納品単価区分 = [区分値.納品単価区分.FC2]
</v>
      </c>
      <c r="I109" s="212" t="s">
        <v>875</v>
      </c>
      <c r="J109" s="213"/>
      <c r="K109" s="214"/>
      <c r="L109" s="114"/>
      <c r="M109" s="114"/>
      <c r="N109" s="115"/>
      <c r="O109" s="117"/>
      <c r="P109" s="118"/>
      <c r="Q109" s="119"/>
      <c r="R109" s="118"/>
    </row>
    <row r="110" spans="2:18" ht="56.25">
      <c r="B110" s="116">
        <v>100</v>
      </c>
      <c r="C110" s="116">
        <v>100</v>
      </c>
      <c r="D110" s="116" t="s">
        <v>873</v>
      </c>
      <c r="E110" s="210" t="s">
        <v>973</v>
      </c>
      <c r="F110" s="210" t="s">
        <v>465</v>
      </c>
      <c r="G110" s="211" t="s">
        <v>465</v>
      </c>
      <c r="H110" s="163" t="str">
        <f t="shared" si="1"/>
        <v xml:space="preserve">ディシジョン(BL)
ディシジョンID=D-2.ディシジョンNO=98.ディシジョン名=BL実行(店別セール発注製品マスタ登録).ディシジョン概要=【設定値条件】出荷先世代.納品単価区分 = [区分値.納品単価区分.FFS]
</v>
      </c>
      <c r="I110" s="212" t="s">
        <v>875</v>
      </c>
      <c r="J110" s="213"/>
      <c r="K110" s="214"/>
      <c r="L110" s="114"/>
      <c r="M110" s="114"/>
      <c r="N110" s="115"/>
      <c r="O110" s="117"/>
      <c r="P110" s="118"/>
      <c r="Q110" s="119"/>
      <c r="R110" s="118"/>
    </row>
    <row r="111" spans="2:18" ht="56.25">
      <c r="B111" s="116">
        <v>101</v>
      </c>
      <c r="C111" s="116">
        <v>101</v>
      </c>
      <c r="D111" s="116" t="s">
        <v>873</v>
      </c>
      <c r="E111" s="210" t="s">
        <v>974</v>
      </c>
      <c r="F111" s="210" t="s">
        <v>468</v>
      </c>
      <c r="G111" s="211" t="s">
        <v>468</v>
      </c>
      <c r="H111" s="163" t="str">
        <f t="shared" si="1"/>
        <v xml:space="preserve">ディシジョン(BL)
ディシジョンID=D-2.ディシジョンNO=99.ディシジョン名=BL実行(店別セール発注製品マスタ登録).ディシジョン概要=【設定値条件】セールマスタ.セール区分 = [区分値.セール区分.長期LT通常発注]
</v>
      </c>
      <c r="I111" s="212" t="s">
        <v>875</v>
      </c>
      <c r="J111" s="213"/>
      <c r="K111" s="214"/>
      <c r="L111" s="114"/>
      <c r="M111" s="114"/>
      <c r="N111" s="115"/>
      <c r="O111" s="117"/>
      <c r="P111" s="118"/>
      <c r="Q111" s="119"/>
      <c r="R111" s="118"/>
    </row>
    <row r="112" spans="2:18" ht="56.25">
      <c r="B112" s="116">
        <v>102</v>
      </c>
      <c r="C112" s="116">
        <v>102</v>
      </c>
      <c r="D112" s="116" t="s">
        <v>873</v>
      </c>
      <c r="E112" s="210" t="s">
        <v>975</v>
      </c>
      <c r="F112" s="210" t="s">
        <v>471</v>
      </c>
      <c r="G112" s="211" t="s">
        <v>471</v>
      </c>
      <c r="H112" s="163" t="str">
        <f t="shared" si="1"/>
        <v xml:space="preserve">ディシジョン(BL)
ディシジョンID=D-2.ディシジョンNO=100.ディシジョン名=BL実行(店別セール発注製品マスタ登録).ディシジョン概要=【設定値条件】セールマスタ.セール区分が[区分値.セール区分.長期LT通常発注]以外
</v>
      </c>
      <c r="I112" s="212" t="s">
        <v>875</v>
      </c>
      <c r="J112" s="213"/>
      <c r="K112" s="214"/>
      <c r="L112" s="114"/>
      <c r="M112" s="114"/>
      <c r="N112" s="115"/>
      <c r="O112" s="117"/>
      <c r="P112" s="118"/>
      <c r="Q112" s="119"/>
      <c r="R112" s="118"/>
    </row>
    <row r="113" spans="2:18" ht="56.25">
      <c r="B113" s="116">
        <v>118</v>
      </c>
      <c r="C113" s="116">
        <v>118</v>
      </c>
      <c r="D113" s="116" t="s">
        <v>873</v>
      </c>
      <c r="E113" s="210" t="s">
        <v>976</v>
      </c>
      <c r="F113" s="210" t="s">
        <v>484</v>
      </c>
      <c r="G113" s="211" t="s">
        <v>484</v>
      </c>
      <c r="H113" s="163" t="str">
        <f t="shared" si="1"/>
        <v xml:space="preserve">削除フラグチェック
CRUDNo=1-2,対象テーブル=セールマスタ
削除フラグ=未削除
</v>
      </c>
      <c r="I113" s="212" t="s">
        <v>977</v>
      </c>
      <c r="J113" s="213"/>
      <c r="K113" s="214"/>
      <c r="L113" s="114"/>
      <c r="M113" s="114"/>
      <c r="N113" s="115"/>
      <c r="O113" s="117" t="s">
        <v>503</v>
      </c>
      <c r="P113" s="118"/>
      <c r="Q113" s="119"/>
      <c r="R113" s="118"/>
    </row>
    <row r="114" spans="2:18" ht="56.25">
      <c r="B114" s="116">
        <v>119</v>
      </c>
      <c r="C114" s="116">
        <v>119</v>
      </c>
      <c r="D114" s="116" t="s">
        <v>873</v>
      </c>
      <c r="E114" s="210" t="s">
        <v>978</v>
      </c>
      <c r="F114" s="210" t="s">
        <v>485</v>
      </c>
      <c r="G114" s="211" t="s">
        <v>485</v>
      </c>
      <c r="H114" s="163" t="str">
        <f t="shared" si="1"/>
        <v xml:space="preserve">削除フラグチェック
CRUDNo=1-2,対象テーブル=セール発注製品マスタ
削除フラグ=未削除
</v>
      </c>
      <c r="I114" s="212" t="s">
        <v>977</v>
      </c>
      <c r="J114" s="213"/>
      <c r="K114" s="214"/>
      <c r="L114" s="114"/>
      <c r="M114" s="114"/>
      <c r="N114" s="115"/>
      <c r="O114" s="117" t="s">
        <v>503</v>
      </c>
      <c r="P114" s="118"/>
      <c r="Q114" s="119"/>
      <c r="R114" s="118"/>
    </row>
    <row r="115" spans="2:18" ht="56.25">
      <c r="B115" s="116">
        <v>120</v>
      </c>
      <c r="C115" s="116">
        <v>120</v>
      </c>
      <c r="D115" s="116" t="s">
        <v>873</v>
      </c>
      <c r="E115" s="210" t="s">
        <v>979</v>
      </c>
      <c r="F115" s="210" t="s">
        <v>486</v>
      </c>
      <c r="G115" s="211" t="s">
        <v>486</v>
      </c>
      <c r="H115" s="163" t="str">
        <f t="shared" si="1"/>
        <v xml:space="preserve">削除フラグチェック
CRUDNo=1-2,対象テーブル=商品マスタ
削除フラグ=未削除
</v>
      </c>
      <c r="I115" s="212" t="s">
        <v>977</v>
      </c>
      <c r="J115" s="213"/>
      <c r="K115" s="214"/>
      <c r="L115" s="114"/>
      <c r="M115" s="114"/>
      <c r="N115" s="115"/>
      <c r="O115" s="117" t="s">
        <v>503</v>
      </c>
      <c r="P115" s="118"/>
      <c r="Q115" s="119"/>
      <c r="R115" s="118"/>
    </row>
    <row r="116" spans="2:18" ht="56.25">
      <c r="B116" s="116">
        <v>121</v>
      </c>
      <c r="C116" s="116">
        <v>121</v>
      </c>
      <c r="D116" s="116" t="s">
        <v>873</v>
      </c>
      <c r="E116" s="210" t="s">
        <v>980</v>
      </c>
      <c r="F116" s="210" t="s">
        <v>487</v>
      </c>
      <c r="G116" s="211" t="s">
        <v>487</v>
      </c>
      <c r="H116" s="163" t="str">
        <f t="shared" si="1"/>
        <v xml:space="preserve">削除フラグチェック
CRUDNo=1-2,対象テーブル=商品分類関連マスタ
削除フラグ=未削除
</v>
      </c>
      <c r="I116" s="212" t="s">
        <v>977</v>
      </c>
      <c r="J116" s="213"/>
      <c r="K116" s="214"/>
      <c r="L116" s="114"/>
      <c r="M116" s="114"/>
      <c r="N116" s="115"/>
      <c r="O116" s="117" t="s">
        <v>503</v>
      </c>
      <c r="P116" s="118"/>
      <c r="Q116" s="119"/>
      <c r="R116" s="118"/>
    </row>
    <row r="117" spans="2:18" ht="56.25">
      <c r="B117" s="116">
        <v>122</v>
      </c>
      <c r="C117" s="116">
        <v>122</v>
      </c>
      <c r="D117" s="116" t="s">
        <v>873</v>
      </c>
      <c r="E117" s="210" t="s">
        <v>981</v>
      </c>
      <c r="F117" s="210" t="s">
        <v>489</v>
      </c>
      <c r="G117" s="211" t="s">
        <v>489</v>
      </c>
      <c r="H117" s="163" t="str">
        <f t="shared" si="1"/>
        <v xml:space="preserve">削除フラグチェック
CRUDNo=1-2,対象テーブル=商品分類展開マスタ
削除フラグ=未削除
</v>
      </c>
      <c r="I117" s="212" t="s">
        <v>977</v>
      </c>
      <c r="J117" s="213"/>
      <c r="K117" s="214"/>
      <c r="L117" s="114"/>
      <c r="M117" s="114"/>
      <c r="N117" s="115"/>
      <c r="O117" s="117" t="s">
        <v>503</v>
      </c>
      <c r="P117" s="118"/>
      <c r="Q117" s="119"/>
      <c r="R117" s="118"/>
    </row>
    <row r="118" spans="2:18" ht="56.25">
      <c r="B118" s="116">
        <v>123</v>
      </c>
      <c r="C118" s="116">
        <v>123</v>
      </c>
      <c r="D118" s="116" t="s">
        <v>873</v>
      </c>
      <c r="E118" s="210" t="s">
        <v>982</v>
      </c>
      <c r="F118" s="210" t="s">
        <v>491</v>
      </c>
      <c r="G118" s="211" t="s">
        <v>491</v>
      </c>
      <c r="H118" s="163" t="str">
        <f t="shared" si="1"/>
        <v xml:space="preserve">削除フラグチェック
CRUDNo=1-2,対象テーブル=店舗形態別商品販売条件マスタ
削除フラグ=未削除
</v>
      </c>
      <c r="I118" s="212" t="s">
        <v>977</v>
      </c>
      <c r="J118" s="213"/>
      <c r="K118" s="214"/>
      <c r="L118" s="114"/>
      <c r="M118" s="114"/>
      <c r="N118" s="115"/>
      <c r="O118" s="117" t="s">
        <v>503</v>
      </c>
      <c r="P118" s="118"/>
      <c r="Q118" s="119"/>
      <c r="R118" s="118"/>
    </row>
    <row r="119" spans="2:18" ht="56.25">
      <c r="B119" s="116">
        <v>124</v>
      </c>
      <c r="C119" s="116">
        <v>124</v>
      </c>
      <c r="D119" s="116" t="s">
        <v>873</v>
      </c>
      <c r="E119" s="210" t="s">
        <v>983</v>
      </c>
      <c r="F119" s="210" t="s">
        <v>492</v>
      </c>
      <c r="G119" s="211" t="s">
        <v>492</v>
      </c>
      <c r="H119" s="163" t="str">
        <f t="shared" si="1"/>
        <v xml:space="preserve">削除フラグチェック
CRUDNo=1-2,対象テーブル=製品マスタ
削除フラグ=未削除
</v>
      </c>
      <c r="I119" s="212" t="s">
        <v>977</v>
      </c>
      <c r="J119" s="213"/>
      <c r="K119" s="214"/>
      <c r="L119" s="114"/>
      <c r="M119" s="114"/>
      <c r="N119" s="115"/>
      <c r="O119" s="117" t="s">
        <v>503</v>
      </c>
      <c r="P119" s="118"/>
      <c r="Q119" s="119"/>
      <c r="R119" s="118"/>
    </row>
    <row r="120" spans="2:18" ht="56.25">
      <c r="B120" s="116">
        <v>125</v>
      </c>
      <c r="C120" s="116">
        <v>125</v>
      </c>
      <c r="D120" s="116" t="s">
        <v>873</v>
      </c>
      <c r="E120" s="210" t="s">
        <v>984</v>
      </c>
      <c r="F120" s="210" t="s">
        <v>494</v>
      </c>
      <c r="G120" s="211" t="s">
        <v>494</v>
      </c>
      <c r="H120" s="163" t="str">
        <f t="shared" si="1"/>
        <v xml:space="preserve">削除フラグチェック
CRUDNo=1-2,対象テーブル=製品世代マスタ
削除フラグ=未削除
</v>
      </c>
      <c r="I120" s="212" t="s">
        <v>977</v>
      </c>
      <c r="J120" s="213"/>
      <c r="K120" s="214"/>
      <c r="L120" s="114"/>
      <c r="M120" s="114"/>
      <c r="N120" s="115"/>
      <c r="O120" s="117" t="s">
        <v>503</v>
      </c>
      <c r="P120" s="118"/>
      <c r="Q120" s="119"/>
      <c r="R120" s="118"/>
    </row>
    <row r="121" spans="2:18" ht="56.25">
      <c r="B121" s="116">
        <v>126</v>
      </c>
      <c r="C121" s="116">
        <v>126</v>
      </c>
      <c r="D121" s="116" t="s">
        <v>873</v>
      </c>
      <c r="E121" s="210" t="s">
        <v>985</v>
      </c>
      <c r="F121" s="210" t="s">
        <v>495</v>
      </c>
      <c r="G121" s="211" t="s">
        <v>495</v>
      </c>
      <c r="H121" s="163" t="str">
        <f t="shared" si="1"/>
        <v xml:space="preserve">削除フラグチェック
CRUDNo=1-2,対象テーブル=仕入先マスタ
削除フラグ=未削除
</v>
      </c>
      <c r="I121" s="212" t="s">
        <v>977</v>
      </c>
      <c r="J121" s="213"/>
      <c r="K121" s="214"/>
      <c r="L121" s="114"/>
      <c r="M121" s="114"/>
      <c r="N121" s="115"/>
      <c r="O121" s="117" t="s">
        <v>503</v>
      </c>
      <c r="P121" s="118"/>
      <c r="Q121" s="119"/>
      <c r="R121" s="118"/>
    </row>
    <row r="122" spans="2:18" ht="56.25">
      <c r="B122" s="116">
        <v>127</v>
      </c>
      <c r="C122" s="116">
        <v>127</v>
      </c>
      <c r="D122" s="116" t="s">
        <v>873</v>
      </c>
      <c r="E122" s="210" t="s">
        <v>986</v>
      </c>
      <c r="F122" s="210" t="s">
        <v>496</v>
      </c>
      <c r="G122" s="211" t="s">
        <v>496</v>
      </c>
      <c r="H122" s="163" t="str">
        <f t="shared" si="1"/>
        <v xml:space="preserve">削除フラグチェック
CRUDNo=1-2,対象テーブル=仕入先別カレンダーマスタ
削除フラグ=未削除
</v>
      </c>
      <c r="I122" s="212" t="s">
        <v>977</v>
      </c>
      <c r="J122" s="213"/>
      <c r="K122" s="214"/>
      <c r="L122" s="114"/>
      <c r="M122" s="114"/>
      <c r="N122" s="115"/>
      <c r="O122" s="117" t="s">
        <v>503</v>
      </c>
      <c r="P122" s="118"/>
      <c r="Q122" s="119"/>
      <c r="R122" s="118"/>
    </row>
    <row r="123" spans="2:18" ht="56.25">
      <c r="B123" s="116">
        <v>128</v>
      </c>
      <c r="C123" s="116">
        <v>128</v>
      </c>
      <c r="D123" s="116" t="s">
        <v>873</v>
      </c>
      <c r="E123" s="210" t="s">
        <v>987</v>
      </c>
      <c r="F123" s="210" t="s">
        <v>497</v>
      </c>
      <c r="G123" s="211" t="s">
        <v>497</v>
      </c>
      <c r="H123" s="163" t="str">
        <f t="shared" si="1"/>
        <v xml:space="preserve">削除フラグチェック
CRUDNo=1-2,対象テーブル=店舗マスタ
削除フラグ=未削除
</v>
      </c>
      <c r="I123" s="212" t="s">
        <v>977</v>
      </c>
      <c r="J123" s="213"/>
      <c r="K123" s="214"/>
      <c r="L123" s="114"/>
      <c r="M123" s="114"/>
      <c r="N123" s="115"/>
      <c r="O123" s="117" t="s">
        <v>503</v>
      </c>
      <c r="P123" s="118"/>
      <c r="Q123" s="119"/>
      <c r="R123" s="118"/>
    </row>
    <row r="124" spans="2:18" ht="56.25">
      <c r="B124" s="116">
        <v>129</v>
      </c>
      <c r="C124" s="116">
        <v>129</v>
      </c>
      <c r="D124" s="116" t="s">
        <v>873</v>
      </c>
      <c r="E124" s="210" t="s">
        <v>988</v>
      </c>
      <c r="F124" s="210" t="s">
        <v>498</v>
      </c>
      <c r="G124" s="211" t="s">
        <v>498</v>
      </c>
      <c r="H124" s="163" t="str">
        <f t="shared" si="1"/>
        <v xml:space="preserve">削除フラグチェック
CRUDNo=1-2,対象テーブル=出荷先世代マスタ
削除フラグ=未削除
</v>
      </c>
      <c r="I124" s="212" t="s">
        <v>977</v>
      </c>
      <c r="J124" s="213"/>
      <c r="K124" s="214"/>
      <c r="L124" s="114"/>
      <c r="M124" s="114"/>
      <c r="N124" s="115"/>
      <c r="O124" s="117" t="s">
        <v>503</v>
      </c>
      <c r="P124" s="118"/>
      <c r="Q124" s="119"/>
      <c r="R124" s="118"/>
    </row>
    <row r="125" spans="2:18" ht="56.25">
      <c r="B125" s="116">
        <v>130</v>
      </c>
      <c r="C125" s="116">
        <v>130</v>
      </c>
      <c r="D125" s="116" t="s">
        <v>873</v>
      </c>
      <c r="E125" s="210" t="s">
        <v>989</v>
      </c>
      <c r="F125" s="210" t="s">
        <v>500</v>
      </c>
      <c r="G125" s="211" t="s">
        <v>500</v>
      </c>
      <c r="H125" s="163" t="str">
        <f t="shared" si="1"/>
        <v xml:space="preserve">削除フラグチェック
CRUDNo=1-2,対象テーブル=レジデータ店舗マスタ
削除フラグ=未削除
</v>
      </c>
      <c r="I125" s="212" t="s">
        <v>977</v>
      </c>
      <c r="J125" s="213"/>
      <c r="K125" s="214"/>
      <c r="L125" s="114"/>
      <c r="M125" s="114"/>
      <c r="N125" s="115"/>
      <c r="O125" s="117" t="s">
        <v>503</v>
      </c>
      <c r="P125" s="118"/>
      <c r="Q125" s="119"/>
      <c r="R125" s="118"/>
    </row>
    <row r="126" spans="2:18" outlineLevel="1">
      <c r="B126" s="116" t="s">
        <v>1001</v>
      </c>
      <c r="C126" s="116"/>
      <c r="D126" s="116" t="s">
        <v>873</v>
      </c>
      <c r="E126" s="210"/>
      <c r="F126" s="210"/>
      <c r="G126" s="211"/>
      <c r="H126" s="163" t="str">
        <f t="shared" si="1"/>
        <v>DBスキーマ内のテーブルに「i2」で始まるシートの初期データを登録する。</v>
      </c>
      <c r="I126" s="237" t="str">
        <f>ReplaceTemplate($O126, $P126, $R126)</f>
        <v>DBスキーマ内のテーブルに「i2」で始まるシートの初期データを登録する。</v>
      </c>
      <c r="J126" s="213"/>
      <c r="K126" s="214"/>
      <c r="L126" s="114"/>
      <c r="M126" s="120" t="s">
        <v>1134</v>
      </c>
      <c r="N126" s="115" t="s">
        <v>173</v>
      </c>
      <c r="O126" s="117" t="s">
        <v>749</v>
      </c>
      <c r="P126" s="118" t="s">
        <v>55</v>
      </c>
      <c r="Q126" s="119"/>
      <c r="R126" s="118" t="s">
        <v>176</v>
      </c>
    </row>
    <row r="127" spans="2:18" ht="67.5" outlineLevel="1">
      <c r="B127" s="116" t="s">
        <v>1002</v>
      </c>
      <c r="C127" s="116"/>
      <c r="D127" s="116"/>
      <c r="E127" s="210"/>
      <c r="F127" s="210"/>
      <c r="G127" s="211"/>
      <c r="H127" s="163" t="str">
        <f t="shared" si="1"/>
        <v>BLを実行する。</v>
      </c>
      <c r="I127" s="237" t="str">
        <f>ReplaceTemplate($O127, $P127, $R127)</f>
        <v>BLを実行する。</v>
      </c>
      <c r="J127" s="213"/>
      <c r="K127" s="214"/>
      <c r="L127" s="114"/>
      <c r="M127" s="120" t="s">
        <v>1134</v>
      </c>
      <c r="N127" s="115" t="s">
        <v>175</v>
      </c>
      <c r="O127" s="117" t="s">
        <v>750</v>
      </c>
      <c r="P127" s="118" t="s">
        <v>55</v>
      </c>
      <c r="Q127" s="119"/>
      <c r="R127" s="118" t="s">
        <v>513</v>
      </c>
    </row>
    <row r="128" spans="2:18" ht="22.5" outlineLevel="1">
      <c r="B128" s="116" t="s">
        <v>1003</v>
      </c>
      <c r="C128" s="116"/>
      <c r="D128" s="116"/>
      <c r="E128" s="210"/>
      <c r="F128" s="210"/>
      <c r="G128" s="211"/>
      <c r="H128" s="163" t="str">
        <f t="shared" si="1"/>
        <v>DBスキーマ内のテーブルが「v2」で始まるシートに定義された想定データ値と一致することを検証し、エビデンスとしてスナップショットを取得する。</v>
      </c>
      <c r="I128" s="238" t="str">
        <f>ReplaceTemplate($O128, $P128, $R128)</f>
        <v>DBスキーマ内のテーブルが「v2」で始まるシートに定義された想定データ値と一致することを検証し、エビデンスとしてスナップショットを取得する。</v>
      </c>
      <c r="J128" s="213"/>
      <c r="K128" s="214"/>
      <c r="L128" s="114"/>
      <c r="M128" s="149" t="s">
        <v>1135</v>
      </c>
      <c r="N128" s="115" t="s">
        <v>92</v>
      </c>
      <c r="O128" s="117" t="s">
        <v>751</v>
      </c>
      <c r="P128" s="118" t="s">
        <v>55</v>
      </c>
      <c r="Q128" s="119"/>
      <c r="R128" s="118" t="s">
        <v>177</v>
      </c>
    </row>
  </sheetData>
  <mergeCells count="252">
    <mergeCell ref="E128:G128"/>
    <mergeCell ref="I128:K128"/>
    <mergeCell ref="E125:G125"/>
    <mergeCell ref="I125:K125"/>
    <mergeCell ref="E122:G122"/>
    <mergeCell ref="I122:K122"/>
    <mergeCell ref="E123:G123"/>
    <mergeCell ref="I123:K123"/>
    <mergeCell ref="E124:G124"/>
    <mergeCell ref="I124:K124"/>
    <mergeCell ref="E126:G126"/>
    <mergeCell ref="I126:K126"/>
    <mergeCell ref="E127:G127"/>
    <mergeCell ref="I127:K127"/>
    <mergeCell ref="E119:G119"/>
    <mergeCell ref="I119:K119"/>
    <mergeCell ref="E120:G120"/>
    <mergeCell ref="I120:K120"/>
    <mergeCell ref="E121:G121"/>
    <mergeCell ref="I121:K121"/>
    <mergeCell ref="E116:G116"/>
    <mergeCell ref="I116:K116"/>
    <mergeCell ref="E117:G117"/>
    <mergeCell ref="I117:K117"/>
    <mergeCell ref="E118:G118"/>
    <mergeCell ref="I118:K118"/>
    <mergeCell ref="E113:G113"/>
    <mergeCell ref="I113:K113"/>
    <mergeCell ref="E114:G114"/>
    <mergeCell ref="I114:K114"/>
    <mergeCell ref="E115:G115"/>
    <mergeCell ref="I115:K115"/>
    <mergeCell ref="E110:G110"/>
    <mergeCell ref="I110:K110"/>
    <mergeCell ref="E111:G111"/>
    <mergeCell ref="I111:K111"/>
    <mergeCell ref="E112:G112"/>
    <mergeCell ref="I112:K112"/>
    <mergeCell ref="E107:G107"/>
    <mergeCell ref="I107:K107"/>
    <mergeCell ref="E108:G108"/>
    <mergeCell ref="I108:K108"/>
    <mergeCell ref="E109:G109"/>
    <mergeCell ref="I109:K109"/>
    <mergeCell ref="E104:G104"/>
    <mergeCell ref="I104:K104"/>
    <mergeCell ref="E105:G105"/>
    <mergeCell ref="I105:K105"/>
    <mergeCell ref="E106:G106"/>
    <mergeCell ref="I106:K106"/>
    <mergeCell ref="E101:G101"/>
    <mergeCell ref="I101:K101"/>
    <mergeCell ref="E102:G102"/>
    <mergeCell ref="I102:K102"/>
    <mergeCell ref="E103:G103"/>
    <mergeCell ref="I103:K103"/>
    <mergeCell ref="E98:G98"/>
    <mergeCell ref="I98:K98"/>
    <mergeCell ref="E99:G99"/>
    <mergeCell ref="I99:K99"/>
    <mergeCell ref="E100:G100"/>
    <mergeCell ref="I100:K100"/>
    <mergeCell ref="E95:G95"/>
    <mergeCell ref="I95:K95"/>
    <mergeCell ref="E96:G96"/>
    <mergeCell ref="I96:K96"/>
    <mergeCell ref="E97:G97"/>
    <mergeCell ref="I97:K97"/>
    <mergeCell ref="E92:G92"/>
    <mergeCell ref="I92:K92"/>
    <mergeCell ref="E93:G93"/>
    <mergeCell ref="I93:K93"/>
    <mergeCell ref="E94:G94"/>
    <mergeCell ref="I94:K94"/>
    <mergeCell ref="E89:G89"/>
    <mergeCell ref="I89:K89"/>
    <mergeCell ref="E90:G90"/>
    <mergeCell ref="I90:K90"/>
    <mergeCell ref="E91:G91"/>
    <mergeCell ref="I91:K91"/>
    <mergeCell ref="E86:G86"/>
    <mergeCell ref="I86:K86"/>
    <mergeCell ref="E87:G87"/>
    <mergeCell ref="I87:K87"/>
    <mergeCell ref="E88:G88"/>
    <mergeCell ref="I88:K88"/>
    <mergeCell ref="E83:G83"/>
    <mergeCell ref="I83:K83"/>
    <mergeCell ref="E84:G84"/>
    <mergeCell ref="I84:K84"/>
    <mergeCell ref="E85:G85"/>
    <mergeCell ref="I85:K85"/>
    <mergeCell ref="E80:G80"/>
    <mergeCell ref="I80:K80"/>
    <mergeCell ref="E81:G81"/>
    <mergeCell ref="I81:K81"/>
    <mergeCell ref="E82:G82"/>
    <mergeCell ref="I82:K82"/>
    <mergeCell ref="E77:G77"/>
    <mergeCell ref="I77:K77"/>
    <mergeCell ref="E78:G78"/>
    <mergeCell ref="I78:K78"/>
    <mergeCell ref="E79:G79"/>
    <mergeCell ref="I79:K79"/>
    <mergeCell ref="E74:G74"/>
    <mergeCell ref="I74:K74"/>
    <mergeCell ref="E75:G75"/>
    <mergeCell ref="I75:K75"/>
    <mergeCell ref="E76:G76"/>
    <mergeCell ref="I76:K76"/>
    <mergeCell ref="E71:G71"/>
    <mergeCell ref="I71:K71"/>
    <mergeCell ref="E72:G72"/>
    <mergeCell ref="I72:K72"/>
    <mergeCell ref="E73:G73"/>
    <mergeCell ref="I73:K73"/>
    <mergeCell ref="E68:G68"/>
    <mergeCell ref="I68:K68"/>
    <mergeCell ref="E69:G69"/>
    <mergeCell ref="I69:K69"/>
    <mergeCell ref="E70:G70"/>
    <mergeCell ref="I70:K70"/>
    <mergeCell ref="E65:G65"/>
    <mergeCell ref="I65:K65"/>
    <mergeCell ref="E66:G66"/>
    <mergeCell ref="I66:K66"/>
    <mergeCell ref="E67:G67"/>
    <mergeCell ref="I67:K67"/>
    <mergeCell ref="E62:G62"/>
    <mergeCell ref="I62:K62"/>
    <mergeCell ref="E63:G63"/>
    <mergeCell ref="I63:K63"/>
    <mergeCell ref="E64:G64"/>
    <mergeCell ref="I64:K64"/>
    <mergeCell ref="E42:G42"/>
    <mergeCell ref="I42:K42"/>
    <mergeCell ref="E41:G41"/>
    <mergeCell ref="I41:K41"/>
    <mergeCell ref="E50:G50"/>
    <mergeCell ref="I50:K50"/>
    <mergeCell ref="E51:G51"/>
    <mergeCell ref="I51:K51"/>
    <mergeCell ref="E52:G52"/>
    <mergeCell ref="I52:K52"/>
    <mergeCell ref="E48:G48"/>
    <mergeCell ref="I48:K48"/>
    <mergeCell ref="E49:G49"/>
    <mergeCell ref="I49:K49"/>
    <mergeCell ref="E44:G44"/>
    <mergeCell ref="I44:K44"/>
    <mergeCell ref="E45:G45"/>
    <mergeCell ref="I45:K45"/>
    <mergeCell ref="E56:G56"/>
    <mergeCell ref="I56:K56"/>
    <mergeCell ref="E57:G57"/>
    <mergeCell ref="I57:K57"/>
    <mergeCell ref="E59:G59"/>
    <mergeCell ref="I59:K59"/>
    <mergeCell ref="E60:G60"/>
    <mergeCell ref="I60:K60"/>
    <mergeCell ref="E61:G61"/>
    <mergeCell ref="I61:K61"/>
    <mergeCell ref="E32:G32"/>
    <mergeCell ref="I32:K32"/>
    <mergeCell ref="E27:G27"/>
    <mergeCell ref="I27:K27"/>
    <mergeCell ref="E28:G28"/>
    <mergeCell ref="I28:K28"/>
    <mergeCell ref="E29:G29"/>
    <mergeCell ref="I29:K29"/>
    <mergeCell ref="E58:G58"/>
    <mergeCell ref="I58:K58"/>
    <mergeCell ref="E53:G53"/>
    <mergeCell ref="I53:K53"/>
    <mergeCell ref="E54:G54"/>
    <mergeCell ref="I54:K54"/>
    <mergeCell ref="E55:G55"/>
    <mergeCell ref="I55:K55"/>
    <mergeCell ref="E40:G40"/>
    <mergeCell ref="I40:K40"/>
    <mergeCell ref="E46:G46"/>
    <mergeCell ref="I46:K46"/>
    <mergeCell ref="E47:G47"/>
    <mergeCell ref="I47:K47"/>
    <mergeCell ref="E43:G43"/>
    <mergeCell ref="I43:K43"/>
    <mergeCell ref="E19:G19"/>
    <mergeCell ref="I19:K19"/>
    <mergeCell ref="E20:G20"/>
    <mergeCell ref="I20:K20"/>
    <mergeCell ref="E21:G21"/>
    <mergeCell ref="I21:K21"/>
    <mergeCell ref="E23:G23"/>
    <mergeCell ref="I23:K23"/>
    <mergeCell ref="E30:G30"/>
    <mergeCell ref="I30:K30"/>
    <mergeCell ref="E39:G39"/>
    <mergeCell ref="I39:K39"/>
    <mergeCell ref="E34:G34"/>
    <mergeCell ref="I34:K34"/>
    <mergeCell ref="E24:G24"/>
    <mergeCell ref="I24:K24"/>
    <mergeCell ref="E25:G25"/>
    <mergeCell ref="I25:K25"/>
    <mergeCell ref="E22:G22"/>
    <mergeCell ref="I22:K22"/>
    <mergeCell ref="E26:G26"/>
    <mergeCell ref="I26:K26"/>
    <mergeCell ref="E33:G33"/>
    <mergeCell ref="I33:K33"/>
    <mergeCell ref="E35:G35"/>
    <mergeCell ref="I35:K35"/>
    <mergeCell ref="E36:G36"/>
    <mergeCell ref="I36:K36"/>
    <mergeCell ref="E37:G37"/>
    <mergeCell ref="I37:K37"/>
    <mergeCell ref="E38:G38"/>
    <mergeCell ref="I38:K38"/>
    <mergeCell ref="E31:G31"/>
    <mergeCell ref="I31:K31"/>
    <mergeCell ref="E10:G10"/>
    <mergeCell ref="I10:K10"/>
    <mergeCell ref="E11:G11"/>
    <mergeCell ref="I11:K11"/>
    <mergeCell ref="I18:K18"/>
    <mergeCell ref="E18:G18"/>
    <mergeCell ref="E14:G14"/>
    <mergeCell ref="I14:K14"/>
    <mergeCell ref="E16:G16"/>
    <mergeCell ref="E17:G17"/>
    <mergeCell ref="I16:K16"/>
    <mergeCell ref="I17:K17"/>
    <mergeCell ref="E13:G13"/>
    <mergeCell ref="I13:K13"/>
    <mergeCell ref="E12:G12"/>
    <mergeCell ref="I12:K12"/>
    <mergeCell ref="E15:G15"/>
    <mergeCell ref="I15:K15"/>
    <mergeCell ref="E9:G9"/>
    <mergeCell ref="I9:K9"/>
    <mergeCell ref="P2:R2"/>
    <mergeCell ref="P3:R3"/>
    <mergeCell ref="B5:K5"/>
    <mergeCell ref="L5:R5"/>
    <mergeCell ref="B6:D6"/>
    <mergeCell ref="E6:K6"/>
    <mergeCell ref="L6:R6"/>
    <mergeCell ref="E7:G7"/>
    <mergeCell ref="I7:K7"/>
    <mergeCell ref="M7:N7"/>
    <mergeCell ref="E8:G8"/>
    <mergeCell ref="I8:K8"/>
  </mergeCells>
  <phoneticPr fontId="1"/>
  <conditionalFormatting sqref="E9:E128">
    <cfRule type="expression" dxfId="9" priority="1" stopIfTrue="1">
      <formula>$E9=""</formula>
    </cfRule>
  </conditionalFormatting>
  <conditionalFormatting sqref="B9:B128">
    <cfRule type="expression" dxfId="8" priority="2" stopIfTrue="1">
      <formula>$E9=""</formula>
    </cfRule>
    <cfRule type="expression" dxfId="7" priority="3" stopIfTrue="1">
      <formula>AND($E9&lt;&gt;"", $B9="")</formula>
    </cfRule>
  </conditionalFormatting>
  <conditionalFormatting sqref="C9:C128">
    <cfRule type="expression" dxfId="6" priority="4" stopIfTrue="1">
      <formula>$E9=""</formula>
    </cfRule>
    <cfRule type="expression" dxfId="5" priority="5" stopIfTrue="1">
      <formula>AND($E9&lt;&gt;"", $C9="")</formula>
    </cfRule>
  </conditionalFormatting>
  <conditionalFormatting sqref="D9:D128">
    <cfRule type="expression" dxfId="4" priority="6" stopIfTrue="1">
      <formula>$E9=""</formula>
    </cfRule>
    <cfRule type="expression" dxfId="3" priority="7" stopIfTrue="1">
      <formula>AND($E9&lt;&gt;"", $D9="")</formula>
    </cfRule>
  </conditionalFormatting>
  <conditionalFormatting sqref="M9:R128">
    <cfRule type="expression" dxfId="2" priority="8" stopIfTrue="1">
      <formula>$E9&lt;&gt;""</formula>
    </cfRule>
  </conditionalFormatting>
  <conditionalFormatting sqref="L9:L128">
    <cfRule type="expression" dxfId="1" priority="9" stopIfTrue="1">
      <formula>$E9&lt;&gt;""</formula>
    </cfRule>
    <cfRule type="expression" dxfId="0" priority="10" stopIfTrue="1">
      <formula>$L9&lt;&gt;""</formula>
    </cfRule>
  </conditionalFormatting>
  <printOptions horizontalCentered="1"/>
  <pageMargins left="0.35433070866141736" right="0.27559055118110237" top="0.74803149606299213" bottom="0.74803149606299213" header="0.31496062992125984" footer="0.31496062992125984"/>
  <pageSetup paperSize="9" fitToHeight="0" orientation="landscape" horizontalDpi="300" verticalDpi="300" r:id="rId1"/>
  <headerFooter alignWithMargins="0">
    <oddFooter>&amp;L&amp;"ＭＳ Ｐゴシック,斜体"Copyright ©2018 by Future Architect, Inc.&amp;C&amp;P&amp;R&amp;"ＭＳ Ｐゴシック,斜体"Confidential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>
          <x14:formula1>
            <xm:f>項目一覧!$A:$A</xm:f>
          </x14:formula1>
          <xm:sqref>P9:P128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4"/>
  </sheetPr>
  <dimension ref="A1:G15"/>
  <sheetViews>
    <sheetView zoomScaleNormal="100" workbookViewId="0">
      <selection activeCell="D4" sqref="D4"/>
    </sheetView>
  </sheetViews>
  <sheetFormatPr defaultRowHeight="13.5"/>
  <cols>
    <col min="1" max="1" width="9" style="113"/>
    <col min="2" max="2" width="41.875" style="113" customWidth="1"/>
    <col min="3" max="3" width="30.625" style="113" customWidth="1"/>
    <col min="4" max="4" width="24.75" style="113" customWidth="1"/>
    <col min="5" max="5" width="32.625" style="113" customWidth="1"/>
    <col min="6" max="37" width="24.75" style="113" customWidth="1"/>
    <col min="38" max="16384" width="9" style="113"/>
  </cols>
  <sheetData>
    <row r="1" spans="1:7">
      <c r="A1" s="133" t="s">
        <v>57</v>
      </c>
      <c r="B1" s="133" t="s">
        <v>58</v>
      </c>
      <c r="C1" s="113" t="s">
        <v>59</v>
      </c>
      <c r="D1" s="134"/>
      <c r="E1" s="134"/>
    </row>
    <row r="2" spans="1:7">
      <c r="B2" s="135" t="s">
        <v>60</v>
      </c>
      <c r="C2" s="135" t="s">
        <v>61</v>
      </c>
      <c r="D2" s="135" t="s">
        <v>62</v>
      </c>
      <c r="E2" s="135" t="s">
        <v>63</v>
      </c>
      <c r="F2" s="135" t="s">
        <v>64</v>
      </c>
      <c r="G2" s="135" t="s">
        <v>123</v>
      </c>
    </row>
    <row r="3" spans="1:7">
      <c r="A3" s="136"/>
      <c r="B3" s="112" t="s">
        <v>65</v>
      </c>
      <c r="C3" s="112" t="s">
        <v>66</v>
      </c>
      <c r="D3" s="137" t="s">
        <v>514</v>
      </c>
      <c r="E3" s="137" t="s">
        <v>67</v>
      </c>
      <c r="F3" s="137" t="s">
        <v>121</v>
      </c>
      <c r="G3" s="137" t="s">
        <v>502</v>
      </c>
    </row>
    <row r="4" spans="1:7">
      <c r="A4" s="134"/>
      <c r="B4" s="134"/>
      <c r="C4" s="134"/>
      <c r="D4" s="134"/>
      <c r="E4" s="134"/>
    </row>
    <row r="5" spans="1:7">
      <c r="A5" s="134"/>
      <c r="B5" s="134"/>
      <c r="C5" s="134"/>
      <c r="D5" s="134"/>
      <c r="E5" s="134"/>
    </row>
    <row r="6" spans="1:7">
      <c r="A6" s="138"/>
      <c r="B6" s="138"/>
      <c r="C6" s="138"/>
      <c r="D6" s="138"/>
      <c r="E6" s="139"/>
      <c r="F6" s="139"/>
    </row>
    <row r="7" spans="1:7">
      <c r="A7" s="133" t="s">
        <v>122</v>
      </c>
      <c r="B7" s="133" t="s">
        <v>58</v>
      </c>
    </row>
    <row r="8" spans="1:7">
      <c r="B8" s="135" t="s">
        <v>60</v>
      </c>
      <c r="C8" s="135" t="s">
        <v>61</v>
      </c>
    </row>
    <row r="9" spans="1:7">
      <c r="B9" s="112" t="s">
        <v>124</v>
      </c>
      <c r="C9" s="112" t="s">
        <v>66</v>
      </c>
    </row>
    <row r="12" spans="1:7">
      <c r="A12" s="138"/>
      <c r="B12" s="138"/>
      <c r="C12" s="138"/>
      <c r="D12" s="138"/>
      <c r="E12" s="139"/>
      <c r="F12" s="139"/>
    </row>
    <row r="13" spans="1:7">
      <c r="A13" s="133" t="s">
        <v>125</v>
      </c>
      <c r="B13" s="133" t="s">
        <v>58</v>
      </c>
    </row>
    <row r="14" spans="1:7">
      <c r="B14" s="135" t="s">
        <v>60</v>
      </c>
      <c r="C14" s="135" t="s">
        <v>61</v>
      </c>
    </row>
    <row r="15" spans="1:7">
      <c r="B15" s="112" t="s">
        <v>124</v>
      </c>
      <c r="C15" s="112" t="s">
        <v>66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BN2"/>
  <sheetViews>
    <sheetView workbookViewId="0">
      <pane ySplit="1" topLeftCell="A2" activePane="bottomLeft" state="frozen"/>
      <selection pane="bottomLeft" activeCell="C2" sqref="C2"/>
    </sheetView>
  </sheetViews>
  <sheetFormatPr defaultRowHeight="13.5"/>
  <cols>
    <col min="1" max="1" width="9" style="134" customWidth="1"/>
    <col min="2" max="2" width="46.625" style="134" customWidth="1"/>
    <col min="3" max="3" width="10.875" style="134" bestFit="1" customWidth="1"/>
    <col min="4" max="4" width="7.5" style="134" bestFit="1" customWidth="1"/>
    <col min="5" max="5" width="6.5" style="134" bestFit="1" customWidth="1"/>
    <col min="6" max="6" width="9.375" style="134" bestFit="1" customWidth="1"/>
    <col min="7" max="7" width="18.875" style="134" bestFit="1" customWidth="1"/>
    <col min="8" max="8" width="8.125" style="134" bestFit="1" customWidth="1"/>
    <col min="9" max="9" width="13.125" style="134" bestFit="1" customWidth="1"/>
    <col min="10" max="10" width="8.625" style="134" bestFit="1" customWidth="1"/>
    <col min="11" max="12" width="9.875" style="134" bestFit="1" customWidth="1"/>
    <col min="13" max="14" width="13.625" style="134" bestFit="1" customWidth="1"/>
    <col min="15" max="15" width="16" style="134" bestFit="1" customWidth="1"/>
    <col min="16" max="16" width="5.75" style="134" bestFit="1" customWidth="1"/>
    <col min="17" max="17" width="6.25" style="134" bestFit="1" customWidth="1"/>
    <col min="18" max="18" width="5.875" style="134" bestFit="1" customWidth="1"/>
    <col min="19" max="19" width="7.625" style="134" bestFit="1" customWidth="1"/>
    <col min="20" max="20" width="13.125" style="134" bestFit="1" customWidth="1"/>
    <col min="21" max="21" width="13.75" style="134" bestFit="1" customWidth="1"/>
    <col min="22" max="22" width="7.625" style="134" bestFit="1" customWidth="1"/>
    <col min="23" max="23" width="19.375" style="134" bestFit="1" customWidth="1"/>
    <col min="24" max="24" width="11.625" style="134" bestFit="1" customWidth="1"/>
    <col min="25" max="25" width="10" style="134" bestFit="1" customWidth="1"/>
    <col min="26" max="26" width="10.5" style="134" bestFit="1" customWidth="1"/>
    <col min="27" max="27" width="7.125" style="134" bestFit="1" customWidth="1"/>
    <col min="28" max="28" width="6.125" style="134" bestFit="1" customWidth="1"/>
    <col min="29" max="29" width="3.875" style="134" bestFit="1" customWidth="1"/>
    <col min="30" max="30" width="12.5" style="134" bestFit="1" customWidth="1"/>
    <col min="31" max="31" width="20.625" style="134" bestFit="1" customWidth="1"/>
    <col min="32" max="32" width="6.75" style="134" bestFit="1" customWidth="1"/>
    <col min="33" max="33" width="7.375" style="134" bestFit="1" customWidth="1"/>
    <col min="34" max="34" width="7.875" style="134" bestFit="1" customWidth="1"/>
    <col min="35" max="35" width="10.5" style="134" bestFit="1" customWidth="1"/>
    <col min="36" max="36" width="15.875" style="134" bestFit="1" customWidth="1"/>
    <col min="37" max="37" width="16.5" style="134" bestFit="1" customWidth="1"/>
    <col min="38" max="39" width="17.125" style="134" bestFit="1" customWidth="1"/>
    <col min="40" max="40" width="17.75" style="134" bestFit="1" customWidth="1"/>
    <col min="41" max="41" width="18.375" style="134" bestFit="1" customWidth="1"/>
    <col min="42" max="42" width="16" style="134" bestFit="1" customWidth="1"/>
    <col min="43" max="43" width="16.625" style="134" bestFit="1" customWidth="1"/>
    <col min="44" max="44" width="17.25" style="134" bestFit="1" customWidth="1"/>
    <col min="45" max="45" width="12.5" style="134" bestFit="1" customWidth="1"/>
    <col min="46" max="46" width="13.125" style="134" bestFit="1" customWidth="1"/>
    <col min="47" max="47" width="13.75" style="134" bestFit="1" customWidth="1"/>
    <col min="48" max="48" width="11" style="134" bestFit="1" customWidth="1"/>
    <col min="49" max="49" width="10" style="134" bestFit="1" customWidth="1"/>
    <col min="50" max="50" width="6.125" style="134" bestFit="1" customWidth="1"/>
    <col min="51" max="51" width="17.5" style="134" bestFit="1" customWidth="1"/>
    <col min="52" max="52" width="10.25" style="134" bestFit="1" customWidth="1"/>
    <col min="53" max="53" width="6.25" style="134" bestFit="1" customWidth="1"/>
    <col min="54" max="54" width="11.625" style="134" bestFit="1" customWidth="1"/>
    <col min="55" max="55" width="19.875" style="134" bestFit="1" customWidth="1"/>
    <col min="56" max="56" width="16.625" style="134" bestFit="1" customWidth="1"/>
    <col min="57" max="57" width="18.75" style="134" bestFit="1" customWidth="1"/>
    <col min="58" max="58" width="10" style="134" bestFit="1" customWidth="1"/>
    <col min="59" max="59" width="10.5" style="134" bestFit="1" customWidth="1"/>
    <col min="60" max="60" width="19.875" style="134" bestFit="1" customWidth="1"/>
    <col min="61" max="61" width="15.5" style="134" bestFit="1" customWidth="1"/>
    <col min="62" max="62" width="17.625" style="134" bestFit="1" customWidth="1"/>
    <col min="63" max="63" width="9" style="134"/>
    <col min="64" max="64" width="7.75" style="134" bestFit="1" customWidth="1"/>
    <col min="65" max="65" width="19.875" style="134" bestFit="1" customWidth="1"/>
    <col min="66" max="66" width="7.375" style="134" bestFit="1" customWidth="1"/>
    <col min="67" max="16384" width="9" style="134"/>
  </cols>
  <sheetData>
    <row r="1" spans="1:66">
      <c r="A1" s="153" t="s">
        <v>198</v>
      </c>
      <c r="B1" s="135" t="s">
        <v>126</v>
      </c>
      <c r="C1" s="135" t="s">
        <v>127</v>
      </c>
      <c r="D1" s="151" t="s">
        <v>128</v>
      </c>
      <c r="E1" s="151" t="s">
        <v>190</v>
      </c>
      <c r="F1" s="151" t="s">
        <v>138</v>
      </c>
      <c r="G1" s="151" t="s">
        <v>171</v>
      </c>
      <c r="H1" s="152" t="s">
        <v>129</v>
      </c>
      <c r="I1" s="152" t="s">
        <v>130</v>
      </c>
      <c r="J1" s="152" t="s">
        <v>131</v>
      </c>
      <c r="K1" s="152" t="s">
        <v>132</v>
      </c>
      <c r="L1" s="152" t="s">
        <v>133</v>
      </c>
      <c r="M1" s="152" t="s">
        <v>134</v>
      </c>
      <c r="N1" s="152" t="s">
        <v>135</v>
      </c>
      <c r="O1" s="152" t="s">
        <v>136</v>
      </c>
      <c r="P1" s="152" t="s">
        <v>137</v>
      </c>
      <c r="Q1" s="152" t="s">
        <v>178</v>
      </c>
      <c r="R1" s="152" t="s">
        <v>179</v>
      </c>
      <c r="S1" s="152" t="s">
        <v>170</v>
      </c>
      <c r="T1" s="152" t="s">
        <v>191</v>
      </c>
      <c r="U1" s="152" t="s">
        <v>192</v>
      </c>
      <c r="V1" s="152" t="s">
        <v>193</v>
      </c>
      <c r="W1" s="152" t="s">
        <v>172</v>
      </c>
      <c r="X1" s="152" t="s">
        <v>194</v>
      </c>
      <c r="Y1" s="152" t="s">
        <v>139</v>
      </c>
      <c r="Z1" s="152" t="s">
        <v>140</v>
      </c>
      <c r="AA1" s="152" t="s">
        <v>142</v>
      </c>
      <c r="AB1" s="152" t="s">
        <v>141</v>
      </c>
      <c r="AC1" s="152" t="s">
        <v>155</v>
      </c>
      <c r="AD1" s="152" t="s">
        <v>180</v>
      </c>
      <c r="AE1" s="152" t="s">
        <v>156</v>
      </c>
      <c r="AF1" s="152" t="s">
        <v>181</v>
      </c>
      <c r="AG1" s="152" t="s">
        <v>182</v>
      </c>
      <c r="AH1" s="152" t="s">
        <v>183</v>
      </c>
      <c r="AI1" s="152" t="s">
        <v>184</v>
      </c>
      <c r="AJ1" s="152" t="s">
        <v>143</v>
      </c>
      <c r="AK1" s="152" t="s">
        <v>144</v>
      </c>
      <c r="AL1" s="152" t="s">
        <v>145</v>
      </c>
      <c r="AM1" s="152" t="s">
        <v>146</v>
      </c>
      <c r="AN1" s="152" t="s">
        <v>147</v>
      </c>
      <c r="AO1" s="152" t="s">
        <v>148</v>
      </c>
      <c r="AP1" s="152" t="s">
        <v>149</v>
      </c>
      <c r="AQ1" s="152" t="s">
        <v>150</v>
      </c>
      <c r="AR1" s="152" t="s">
        <v>151</v>
      </c>
      <c r="AS1" s="152" t="s">
        <v>152</v>
      </c>
      <c r="AT1" s="152" t="s">
        <v>153</v>
      </c>
      <c r="AU1" s="152" t="s">
        <v>154</v>
      </c>
      <c r="AV1" s="152" t="s">
        <v>185</v>
      </c>
      <c r="AW1" s="152" t="s">
        <v>186</v>
      </c>
      <c r="AX1" s="152" t="s">
        <v>187</v>
      </c>
      <c r="AY1" s="152" t="s">
        <v>188</v>
      </c>
      <c r="AZ1" s="152" t="s">
        <v>195</v>
      </c>
      <c r="BA1" s="152" t="s">
        <v>157</v>
      </c>
      <c r="BB1" s="152" t="s">
        <v>158</v>
      </c>
      <c r="BC1" s="152" t="s">
        <v>159</v>
      </c>
      <c r="BD1" s="152" t="s">
        <v>160</v>
      </c>
      <c r="BE1" s="152" t="s">
        <v>161</v>
      </c>
      <c r="BF1" s="152" t="s">
        <v>162</v>
      </c>
      <c r="BG1" s="152" t="s">
        <v>163</v>
      </c>
      <c r="BH1" s="152" t="s">
        <v>164</v>
      </c>
      <c r="BI1" s="152" t="s">
        <v>165</v>
      </c>
      <c r="BJ1" s="152" t="s">
        <v>166</v>
      </c>
      <c r="BK1" s="152" t="s">
        <v>167</v>
      </c>
      <c r="BL1" s="152" t="s">
        <v>168</v>
      </c>
      <c r="BM1" s="152" t="s">
        <v>189</v>
      </c>
      <c r="BN1" s="152" t="s">
        <v>169</v>
      </c>
    </row>
    <row r="2" spans="1:66" ht="81">
      <c r="A2" s="137"/>
      <c r="B2" s="159" t="s">
        <v>512</v>
      </c>
      <c r="C2" s="112" t="s">
        <v>66</v>
      </c>
      <c r="D2" s="137">
        <v>1</v>
      </c>
      <c r="E2" s="137">
        <v>2</v>
      </c>
      <c r="F2" s="137">
        <v>3</v>
      </c>
      <c r="G2" s="137" t="s">
        <v>504</v>
      </c>
      <c r="H2" s="137" t="s">
        <v>73</v>
      </c>
      <c r="I2" s="137" t="s">
        <v>74</v>
      </c>
      <c r="J2" s="137" t="s">
        <v>94</v>
      </c>
      <c r="K2" s="137" t="s">
        <v>95</v>
      </c>
      <c r="L2" s="137" t="s">
        <v>96</v>
      </c>
      <c r="M2" s="137" t="s">
        <v>97</v>
      </c>
      <c r="N2" s="137" t="s">
        <v>98</v>
      </c>
      <c r="O2" s="137" t="s">
        <v>99</v>
      </c>
      <c r="P2" s="137" t="s">
        <v>100</v>
      </c>
      <c r="Q2" s="137" t="s">
        <v>101</v>
      </c>
      <c r="R2" s="137">
        <v>15</v>
      </c>
      <c r="S2" s="137" t="s">
        <v>103</v>
      </c>
      <c r="T2" s="137" t="s">
        <v>505</v>
      </c>
      <c r="U2" s="137" t="s">
        <v>506</v>
      </c>
      <c r="V2" s="137" t="s">
        <v>107</v>
      </c>
      <c r="W2" s="137" t="s">
        <v>507</v>
      </c>
      <c r="X2" s="137" t="s">
        <v>508</v>
      </c>
      <c r="Y2" s="137" t="s">
        <v>110</v>
      </c>
      <c r="Z2" s="137" t="s">
        <v>111</v>
      </c>
      <c r="AA2" s="137" t="s">
        <v>112</v>
      </c>
      <c r="AB2" s="137" t="s">
        <v>113</v>
      </c>
      <c r="AC2" s="137">
        <v>26</v>
      </c>
      <c r="AD2" s="137">
        <v>27</v>
      </c>
      <c r="AE2" s="137">
        <v>28</v>
      </c>
      <c r="AF2" s="137">
        <v>29</v>
      </c>
      <c r="AG2" s="137" t="s">
        <v>118</v>
      </c>
      <c r="AH2" s="137" t="s">
        <v>119</v>
      </c>
      <c r="AI2" s="137" t="s">
        <v>120</v>
      </c>
      <c r="AJ2" s="137">
        <v>33</v>
      </c>
      <c r="AK2" s="137" t="s">
        <v>272</v>
      </c>
      <c r="AL2" s="137" t="s">
        <v>275</v>
      </c>
      <c r="AM2" s="137">
        <v>36</v>
      </c>
      <c r="AN2" s="137" t="s">
        <v>281</v>
      </c>
      <c r="AO2" s="137" t="s">
        <v>284</v>
      </c>
      <c r="AP2" s="137">
        <v>39</v>
      </c>
      <c r="AQ2" s="137" t="s">
        <v>290</v>
      </c>
      <c r="AR2" s="137" t="s">
        <v>293</v>
      </c>
      <c r="AS2" s="137">
        <v>42</v>
      </c>
      <c r="AT2" s="137" t="s">
        <v>299</v>
      </c>
      <c r="AU2" s="137" t="s">
        <v>302</v>
      </c>
      <c r="AV2" s="137">
        <v>45</v>
      </c>
      <c r="AW2" s="137" t="s">
        <v>308</v>
      </c>
      <c r="AX2" s="137">
        <v>47</v>
      </c>
      <c r="AY2" s="137">
        <v>48</v>
      </c>
      <c r="AZ2" s="137" t="s">
        <v>317</v>
      </c>
      <c r="BA2" s="137" t="s">
        <v>320</v>
      </c>
      <c r="BB2" s="137" t="s">
        <v>323</v>
      </c>
      <c r="BC2" s="137" t="s">
        <v>509</v>
      </c>
      <c r="BD2" s="137" t="s">
        <v>329</v>
      </c>
      <c r="BE2" s="137" t="s">
        <v>332</v>
      </c>
      <c r="BF2" s="137" t="s">
        <v>335</v>
      </c>
      <c r="BG2" s="137" t="s">
        <v>338</v>
      </c>
      <c r="BH2" s="137" t="s">
        <v>510</v>
      </c>
      <c r="BI2" s="137" t="s">
        <v>344</v>
      </c>
      <c r="BJ2" s="137" t="s">
        <v>347</v>
      </c>
      <c r="BK2" s="137" t="s">
        <v>350</v>
      </c>
      <c r="BL2" s="137" t="s">
        <v>353</v>
      </c>
      <c r="BM2" s="137" t="s">
        <v>511</v>
      </c>
      <c r="BN2" s="137">
        <v>0</v>
      </c>
    </row>
  </sheetData>
  <phoneticPr fontId="27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7"/>
  </sheetPr>
  <dimension ref="A1:BN1"/>
  <sheetViews>
    <sheetView workbookViewId="0">
      <pane ySplit="1" topLeftCell="A2" activePane="bottomLeft" state="frozen"/>
      <selection pane="bottomLeft" activeCell="AJ1" sqref="AJ1"/>
    </sheetView>
  </sheetViews>
  <sheetFormatPr defaultRowHeight="13.5"/>
  <cols>
    <col min="1" max="1" width="38.25" style="134" bestFit="1" customWidth="1"/>
    <col min="2" max="2" width="10.125" style="134" bestFit="1" customWidth="1"/>
    <col min="3" max="3" width="10.875" style="134" bestFit="1" customWidth="1"/>
    <col min="4" max="4" width="7.5" style="134" bestFit="1" customWidth="1"/>
    <col min="5" max="5" width="6.5" style="134" bestFit="1" customWidth="1"/>
    <col min="6" max="6" width="9.375" style="134" bestFit="1" customWidth="1"/>
    <col min="7" max="7" width="18.875" style="134" bestFit="1" customWidth="1"/>
    <col min="8" max="8" width="8.125" style="134" bestFit="1" customWidth="1"/>
    <col min="9" max="9" width="13.125" style="134" bestFit="1" customWidth="1"/>
    <col min="10" max="10" width="8.625" style="134" bestFit="1" customWidth="1"/>
    <col min="11" max="12" width="9.875" style="134" bestFit="1" customWidth="1"/>
    <col min="13" max="14" width="13.625" style="134" bestFit="1" customWidth="1"/>
    <col min="15" max="15" width="16" style="134" bestFit="1" customWidth="1"/>
    <col min="16" max="16" width="5.75" style="134" bestFit="1" customWidth="1"/>
    <col min="17" max="17" width="6.25" style="134" bestFit="1" customWidth="1"/>
    <col min="18" max="18" width="5.875" style="134" bestFit="1" customWidth="1"/>
    <col min="19" max="19" width="7.625" style="134" bestFit="1" customWidth="1"/>
    <col min="20" max="20" width="13.125" style="134" bestFit="1" customWidth="1"/>
    <col min="21" max="21" width="13.75" style="134" bestFit="1" customWidth="1"/>
    <col min="22" max="22" width="7.625" style="134" bestFit="1" customWidth="1"/>
    <col min="23" max="23" width="19.375" style="134" bestFit="1" customWidth="1"/>
    <col min="24" max="24" width="11.625" style="134" bestFit="1" customWidth="1"/>
    <col min="25" max="25" width="10" style="134" bestFit="1" customWidth="1"/>
    <col min="26" max="26" width="10.5" style="134" bestFit="1" customWidth="1"/>
    <col min="27" max="27" width="7.125" style="134" bestFit="1" customWidth="1"/>
    <col min="28" max="28" width="6.125" style="134" bestFit="1" customWidth="1"/>
    <col min="29" max="29" width="3.875" style="134" bestFit="1" customWidth="1"/>
    <col min="30" max="30" width="12.5" style="134" bestFit="1" customWidth="1"/>
    <col min="31" max="31" width="20.625" style="134" bestFit="1" customWidth="1"/>
    <col min="32" max="32" width="6.75" style="134" bestFit="1" customWidth="1"/>
    <col min="33" max="33" width="7.375" style="134" bestFit="1" customWidth="1"/>
    <col min="34" max="34" width="7.875" style="134" bestFit="1" customWidth="1"/>
    <col min="35" max="35" width="10.5" style="134" bestFit="1" customWidth="1"/>
    <col min="36" max="36" width="15.875" style="134" bestFit="1" customWidth="1"/>
    <col min="37" max="37" width="16.5" style="134" bestFit="1" customWidth="1"/>
    <col min="38" max="39" width="17.125" style="134" bestFit="1" customWidth="1"/>
    <col min="40" max="40" width="17.75" style="134" bestFit="1" customWidth="1"/>
    <col min="41" max="41" width="18.375" style="134" bestFit="1" customWidth="1"/>
    <col min="42" max="42" width="16" style="134" bestFit="1" customWidth="1"/>
    <col min="43" max="43" width="16.625" style="134" bestFit="1" customWidth="1"/>
    <col min="44" max="44" width="17.25" style="134" bestFit="1" customWidth="1"/>
    <col min="45" max="45" width="12.5" style="134" bestFit="1" customWidth="1"/>
    <col min="46" max="46" width="13.125" style="134" bestFit="1" customWidth="1"/>
    <col min="47" max="47" width="13.75" style="134" bestFit="1" customWidth="1"/>
    <col min="48" max="48" width="11" style="134" bestFit="1" customWidth="1"/>
    <col min="49" max="49" width="10" style="134" bestFit="1" customWidth="1"/>
    <col min="50" max="50" width="6.125" style="134" bestFit="1" customWidth="1"/>
    <col min="51" max="51" width="17.5" style="134" bestFit="1" customWidth="1"/>
    <col min="52" max="52" width="10.25" style="134" bestFit="1" customWidth="1"/>
    <col min="53" max="53" width="6.25" style="134" bestFit="1" customWidth="1"/>
    <col min="54" max="54" width="11.625" style="134" bestFit="1" customWidth="1"/>
    <col min="55" max="55" width="19.875" style="134" bestFit="1" customWidth="1"/>
    <col min="56" max="56" width="16.625" style="134" bestFit="1" customWidth="1"/>
    <col min="57" max="57" width="18.75" style="134" bestFit="1" customWidth="1"/>
    <col min="58" max="58" width="10" style="134" bestFit="1" customWidth="1"/>
    <col min="59" max="59" width="10.5" style="134" bestFit="1" customWidth="1"/>
    <col min="60" max="60" width="19.875" style="134" bestFit="1" customWidth="1"/>
    <col min="61" max="61" width="15.5" style="134" bestFit="1" customWidth="1"/>
    <col min="62" max="62" width="17.625" style="134" bestFit="1" customWidth="1"/>
    <col min="63" max="63" width="9" style="134"/>
    <col min="64" max="64" width="7.75" style="134" bestFit="1" customWidth="1"/>
    <col min="65" max="65" width="19.875" style="134" bestFit="1" customWidth="1"/>
    <col min="66" max="66" width="7.375" style="134" bestFit="1" customWidth="1"/>
    <col min="67" max="16384" width="9" style="134"/>
  </cols>
  <sheetData>
    <row r="1" spans="1:66">
      <c r="A1" s="153" t="s">
        <v>198</v>
      </c>
      <c r="B1" s="135" t="s">
        <v>126</v>
      </c>
      <c r="C1" s="135" t="s">
        <v>127</v>
      </c>
      <c r="D1" s="151" t="s">
        <v>128</v>
      </c>
      <c r="E1" s="151" t="s">
        <v>190</v>
      </c>
      <c r="F1" s="151" t="s">
        <v>138</v>
      </c>
      <c r="G1" s="151" t="s">
        <v>171</v>
      </c>
      <c r="H1" s="152" t="s">
        <v>129</v>
      </c>
      <c r="I1" s="152" t="s">
        <v>130</v>
      </c>
      <c r="J1" s="152" t="s">
        <v>131</v>
      </c>
      <c r="K1" s="152" t="s">
        <v>132</v>
      </c>
      <c r="L1" s="152" t="s">
        <v>133</v>
      </c>
      <c r="M1" s="152" t="s">
        <v>134</v>
      </c>
      <c r="N1" s="152" t="s">
        <v>135</v>
      </c>
      <c r="O1" s="152" t="s">
        <v>136</v>
      </c>
      <c r="P1" s="152" t="s">
        <v>137</v>
      </c>
      <c r="Q1" s="152" t="s">
        <v>178</v>
      </c>
      <c r="R1" s="152" t="s">
        <v>179</v>
      </c>
      <c r="S1" s="152" t="s">
        <v>170</v>
      </c>
      <c r="T1" s="152" t="s">
        <v>191</v>
      </c>
      <c r="U1" s="152" t="s">
        <v>192</v>
      </c>
      <c r="V1" s="152" t="s">
        <v>193</v>
      </c>
      <c r="W1" s="152" t="s">
        <v>172</v>
      </c>
      <c r="X1" s="152" t="s">
        <v>194</v>
      </c>
      <c r="Y1" s="152" t="s">
        <v>139</v>
      </c>
      <c r="Z1" s="152" t="s">
        <v>140</v>
      </c>
      <c r="AA1" s="152" t="s">
        <v>142</v>
      </c>
      <c r="AB1" s="152" t="s">
        <v>141</v>
      </c>
      <c r="AC1" s="152" t="s">
        <v>155</v>
      </c>
      <c r="AD1" s="152" t="s">
        <v>180</v>
      </c>
      <c r="AE1" s="152" t="s">
        <v>156</v>
      </c>
      <c r="AF1" s="152" t="s">
        <v>181</v>
      </c>
      <c r="AG1" s="152" t="s">
        <v>182</v>
      </c>
      <c r="AH1" s="152" t="s">
        <v>183</v>
      </c>
      <c r="AI1" s="152" t="s">
        <v>184</v>
      </c>
      <c r="AJ1" s="152" t="s">
        <v>143</v>
      </c>
      <c r="AK1" s="152" t="s">
        <v>144</v>
      </c>
      <c r="AL1" s="152" t="s">
        <v>145</v>
      </c>
      <c r="AM1" s="152" t="s">
        <v>146</v>
      </c>
      <c r="AN1" s="152" t="s">
        <v>147</v>
      </c>
      <c r="AO1" s="152" t="s">
        <v>148</v>
      </c>
      <c r="AP1" s="152" t="s">
        <v>149</v>
      </c>
      <c r="AQ1" s="152" t="s">
        <v>150</v>
      </c>
      <c r="AR1" s="152" t="s">
        <v>151</v>
      </c>
      <c r="AS1" s="152" t="s">
        <v>152</v>
      </c>
      <c r="AT1" s="152" t="s">
        <v>153</v>
      </c>
      <c r="AU1" s="152" t="s">
        <v>154</v>
      </c>
      <c r="AV1" s="152" t="s">
        <v>185</v>
      </c>
      <c r="AW1" s="152" t="s">
        <v>186</v>
      </c>
      <c r="AX1" s="152" t="s">
        <v>187</v>
      </c>
      <c r="AY1" s="152" t="s">
        <v>188</v>
      </c>
      <c r="AZ1" s="152" t="s">
        <v>195</v>
      </c>
      <c r="BA1" s="152" t="s">
        <v>157</v>
      </c>
      <c r="BB1" s="152" t="s">
        <v>158</v>
      </c>
      <c r="BC1" s="152" t="s">
        <v>159</v>
      </c>
      <c r="BD1" s="152" t="s">
        <v>160</v>
      </c>
      <c r="BE1" s="152" t="s">
        <v>161</v>
      </c>
      <c r="BF1" s="152" t="s">
        <v>162</v>
      </c>
      <c r="BG1" s="152" t="s">
        <v>163</v>
      </c>
      <c r="BH1" s="152" t="s">
        <v>164</v>
      </c>
      <c r="BI1" s="152" t="s">
        <v>165</v>
      </c>
      <c r="BJ1" s="152" t="s">
        <v>166</v>
      </c>
      <c r="BK1" s="152" t="s">
        <v>167</v>
      </c>
      <c r="BL1" s="152" t="s">
        <v>168</v>
      </c>
      <c r="BM1" s="152" t="s">
        <v>189</v>
      </c>
      <c r="BN1" s="152" t="s">
        <v>169</v>
      </c>
    </row>
  </sheetData>
  <phoneticPr fontId="27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V9"/>
  <sheetViews>
    <sheetView workbookViewId="0">
      <pane ySplit="1" topLeftCell="A7" activePane="bottomLeft" state="frozen"/>
      <selection pane="bottomLeft" activeCell="D35" sqref="D35"/>
    </sheetView>
  </sheetViews>
  <sheetFormatPr defaultRowHeight="13.5"/>
  <cols>
    <col min="1" max="1" width="48.25" style="134" customWidth="1"/>
    <col min="2" max="2" width="10.875" style="134" bestFit="1" customWidth="1"/>
    <col min="3" max="3" width="6.5" style="134" bestFit="1" customWidth="1"/>
    <col min="4" max="4" width="7.625" style="134" bestFit="1" customWidth="1"/>
    <col min="5" max="5" width="13.125" style="134" bestFit="1" customWidth="1"/>
    <col min="6" max="6" width="13.75" style="134" bestFit="1" customWidth="1"/>
    <col min="7" max="7" width="7.625" style="134" bestFit="1" customWidth="1"/>
    <col min="8" max="8" width="18.875" style="134" bestFit="1" customWidth="1"/>
    <col min="9" max="9" width="6.25" style="134" bestFit="1" customWidth="1"/>
    <col min="10" max="10" width="11.625" style="134" bestFit="1" customWidth="1"/>
    <col min="11" max="11" width="19.875" style="134" bestFit="1" customWidth="1"/>
    <col min="12" max="12" width="16.625" style="134" bestFit="1" customWidth="1"/>
    <col min="13" max="13" width="18.75" style="134" bestFit="1" customWidth="1"/>
    <col min="14" max="14" width="10" style="134" bestFit="1" customWidth="1"/>
    <col min="15" max="15" width="10.5" style="134" bestFit="1" customWidth="1"/>
    <col min="16" max="16" width="19.875" style="134" bestFit="1" customWidth="1"/>
    <col min="17" max="17" width="15.5" style="134" bestFit="1" customWidth="1"/>
    <col min="18" max="18" width="17.625" style="134" bestFit="1" customWidth="1"/>
    <col min="19" max="19" width="9" style="134"/>
    <col min="20" max="20" width="7.75" style="134" bestFit="1" customWidth="1"/>
    <col min="21" max="21" width="19.875" style="134" bestFit="1" customWidth="1"/>
    <col min="22" max="22" width="7.375" style="134" bestFit="1" customWidth="1"/>
    <col min="23" max="16384" width="9" style="134"/>
  </cols>
  <sheetData>
    <row r="1" spans="1:22">
      <c r="A1" s="135" t="s">
        <v>126</v>
      </c>
      <c r="B1" s="135" t="s">
        <v>127</v>
      </c>
      <c r="C1" s="151" t="s">
        <v>190</v>
      </c>
      <c r="D1" s="152" t="s">
        <v>170</v>
      </c>
      <c r="E1" s="152" t="s">
        <v>191</v>
      </c>
      <c r="F1" s="152" t="s">
        <v>192</v>
      </c>
      <c r="G1" s="152" t="s">
        <v>193</v>
      </c>
      <c r="H1" s="152" t="s">
        <v>819</v>
      </c>
      <c r="I1" s="152" t="s">
        <v>157</v>
      </c>
      <c r="J1" s="152" t="s">
        <v>158</v>
      </c>
      <c r="K1" s="152" t="s">
        <v>159</v>
      </c>
      <c r="L1" s="152" t="s">
        <v>160</v>
      </c>
      <c r="M1" s="152" t="s">
        <v>161</v>
      </c>
      <c r="N1" s="152" t="s">
        <v>162</v>
      </c>
      <c r="O1" s="152" t="s">
        <v>163</v>
      </c>
      <c r="P1" s="152" t="s">
        <v>164</v>
      </c>
      <c r="Q1" s="152" t="s">
        <v>165</v>
      </c>
      <c r="R1" s="152" t="s">
        <v>166</v>
      </c>
      <c r="S1" s="152" t="s">
        <v>167</v>
      </c>
      <c r="T1" s="152" t="s">
        <v>168</v>
      </c>
      <c r="U1" s="152" t="s">
        <v>189</v>
      </c>
      <c r="V1" s="152" t="s">
        <v>169</v>
      </c>
    </row>
    <row r="2" spans="1:22" ht="216">
      <c r="A2" s="162" t="s">
        <v>994</v>
      </c>
      <c r="B2" s="137" t="s">
        <v>754</v>
      </c>
      <c r="C2" s="137">
        <v>1</v>
      </c>
      <c r="D2" s="137" t="s">
        <v>748</v>
      </c>
      <c r="E2" s="137" t="s">
        <v>504</v>
      </c>
      <c r="F2" s="137" t="s">
        <v>517</v>
      </c>
      <c r="G2" s="137" t="s">
        <v>518</v>
      </c>
      <c r="H2" s="160" t="s">
        <v>600</v>
      </c>
      <c r="I2" s="137" t="s">
        <v>520</v>
      </c>
      <c r="J2" s="137" t="s">
        <v>521</v>
      </c>
      <c r="K2" s="137" t="s">
        <v>522</v>
      </c>
      <c r="L2" s="137" t="s">
        <v>523</v>
      </c>
      <c r="M2" s="137" t="s">
        <v>97</v>
      </c>
      <c r="N2" s="137" t="s">
        <v>98</v>
      </c>
      <c r="O2" s="137" t="s">
        <v>99</v>
      </c>
      <c r="P2" s="137" t="s">
        <v>524</v>
      </c>
      <c r="Q2" s="137" t="s">
        <v>101</v>
      </c>
      <c r="R2" s="137" t="s">
        <v>102</v>
      </c>
      <c r="S2" s="137" t="s">
        <v>103</v>
      </c>
      <c r="T2" s="137" t="s">
        <v>104</v>
      </c>
      <c r="U2" s="137" t="s">
        <v>525</v>
      </c>
      <c r="V2" s="137">
        <v>0</v>
      </c>
    </row>
    <row r="3" spans="1:22" ht="175.5">
      <c r="A3" s="162" t="s">
        <v>995</v>
      </c>
      <c r="B3" s="137" t="s">
        <v>754</v>
      </c>
      <c r="C3" s="137">
        <v>2</v>
      </c>
      <c r="D3" s="137" t="s">
        <v>748</v>
      </c>
      <c r="E3" s="137" t="s">
        <v>504</v>
      </c>
      <c r="F3" s="137" t="s">
        <v>517</v>
      </c>
      <c r="G3" s="137" t="s">
        <v>518</v>
      </c>
      <c r="H3" s="160" t="s">
        <v>526</v>
      </c>
      <c r="I3" s="137" t="s">
        <v>520</v>
      </c>
      <c r="J3" s="137" t="s">
        <v>521</v>
      </c>
      <c r="K3" s="137" t="s">
        <v>522</v>
      </c>
      <c r="L3" s="137" t="s">
        <v>523</v>
      </c>
      <c r="M3" s="137" t="s">
        <v>97</v>
      </c>
      <c r="N3" s="137" t="s">
        <v>98</v>
      </c>
      <c r="O3" s="137" t="s">
        <v>99</v>
      </c>
      <c r="P3" s="137" t="s">
        <v>524</v>
      </c>
      <c r="Q3" s="137" t="s">
        <v>101</v>
      </c>
      <c r="R3" s="137" t="s">
        <v>102</v>
      </c>
      <c r="S3" s="137" t="s">
        <v>103</v>
      </c>
      <c r="T3" s="137" t="s">
        <v>104</v>
      </c>
      <c r="U3" s="137" t="s">
        <v>525</v>
      </c>
      <c r="V3" s="137">
        <v>0</v>
      </c>
    </row>
    <row r="4" spans="1:22" ht="175.5">
      <c r="A4" s="161" t="s">
        <v>996</v>
      </c>
      <c r="B4" s="137" t="s">
        <v>754</v>
      </c>
      <c r="C4" s="137">
        <v>3</v>
      </c>
      <c r="D4" s="137" t="s">
        <v>748</v>
      </c>
      <c r="E4" s="137" t="s">
        <v>504</v>
      </c>
      <c r="F4" s="137" t="s">
        <v>517</v>
      </c>
      <c r="G4" s="137" t="s">
        <v>518</v>
      </c>
      <c r="H4" s="160" t="s">
        <v>823</v>
      </c>
      <c r="I4" s="137" t="s">
        <v>520</v>
      </c>
      <c r="J4" s="137" t="s">
        <v>521</v>
      </c>
      <c r="K4" s="137" t="s">
        <v>522</v>
      </c>
      <c r="L4" s="137" t="s">
        <v>523</v>
      </c>
      <c r="M4" s="137" t="s">
        <v>97</v>
      </c>
      <c r="N4" s="137" t="s">
        <v>98</v>
      </c>
      <c r="O4" s="137" t="s">
        <v>99</v>
      </c>
      <c r="P4" s="137" t="s">
        <v>524</v>
      </c>
      <c r="Q4" s="137" t="s">
        <v>101</v>
      </c>
      <c r="R4" s="137" t="s">
        <v>102</v>
      </c>
      <c r="S4" s="137" t="s">
        <v>103</v>
      </c>
      <c r="T4" s="137" t="s">
        <v>104</v>
      </c>
      <c r="U4" s="137" t="s">
        <v>525</v>
      </c>
      <c r="V4" s="137">
        <v>0</v>
      </c>
    </row>
    <row r="5" spans="1:22" ht="175.5">
      <c r="A5" s="162" t="s">
        <v>1131</v>
      </c>
      <c r="B5" s="137" t="s">
        <v>754</v>
      </c>
      <c r="C5" s="137">
        <v>4</v>
      </c>
      <c r="D5" s="160" t="s">
        <v>748</v>
      </c>
      <c r="E5" s="137" t="s">
        <v>504</v>
      </c>
      <c r="F5" s="137" t="s">
        <v>517</v>
      </c>
      <c r="G5" s="137" t="s">
        <v>518</v>
      </c>
      <c r="H5" s="137" t="s">
        <v>519</v>
      </c>
      <c r="I5" s="137" t="s">
        <v>520</v>
      </c>
      <c r="J5" s="137" t="s">
        <v>521</v>
      </c>
      <c r="K5" s="137" t="s">
        <v>522</v>
      </c>
      <c r="L5" s="137" t="s">
        <v>523</v>
      </c>
      <c r="M5" s="137" t="s">
        <v>97</v>
      </c>
      <c r="N5" s="137" t="s">
        <v>98</v>
      </c>
      <c r="O5" s="137" t="s">
        <v>99</v>
      </c>
      <c r="P5" s="137" t="s">
        <v>524</v>
      </c>
      <c r="Q5" s="137" t="s">
        <v>101</v>
      </c>
      <c r="R5" s="137" t="s">
        <v>102</v>
      </c>
      <c r="S5" s="137" t="s">
        <v>103</v>
      </c>
      <c r="T5" s="137" t="s">
        <v>104</v>
      </c>
      <c r="U5" s="137" t="s">
        <v>525</v>
      </c>
      <c r="V5" s="137">
        <v>0</v>
      </c>
    </row>
    <row r="6" spans="1:22" ht="108">
      <c r="A6" s="161" t="s">
        <v>1132</v>
      </c>
      <c r="B6" s="137" t="s">
        <v>754</v>
      </c>
      <c r="C6" s="137">
        <v>5</v>
      </c>
      <c r="D6" s="160" t="s">
        <v>1004</v>
      </c>
      <c r="E6" s="137" t="s">
        <v>504</v>
      </c>
      <c r="F6" s="137" t="s">
        <v>517</v>
      </c>
      <c r="G6" s="137" t="s">
        <v>518</v>
      </c>
      <c r="H6" s="137" t="s">
        <v>519</v>
      </c>
      <c r="I6" s="137" t="s">
        <v>520</v>
      </c>
      <c r="J6" s="137" t="s">
        <v>521</v>
      </c>
      <c r="K6" s="137" t="s">
        <v>522</v>
      </c>
      <c r="L6" s="137" t="s">
        <v>523</v>
      </c>
      <c r="M6" s="137" t="s">
        <v>97</v>
      </c>
      <c r="N6" s="137" t="s">
        <v>98</v>
      </c>
      <c r="O6" s="137" t="s">
        <v>99</v>
      </c>
      <c r="P6" s="137" t="s">
        <v>524</v>
      </c>
      <c r="Q6" s="137" t="s">
        <v>101</v>
      </c>
      <c r="R6" s="137" t="s">
        <v>102</v>
      </c>
      <c r="S6" s="137" t="s">
        <v>103</v>
      </c>
      <c r="T6" s="137" t="s">
        <v>104</v>
      </c>
      <c r="U6" s="137" t="s">
        <v>525</v>
      </c>
      <c r="V6" s="137">
        <v>0</v>
      </c>
    </row>
    <row r="7" spans="1:22" ht="108">
      <c r="A7" s="161" t="s">
        <v>997</v>
      </c>
      <c r="B7" s="137" t="s">
        <v>754</v>
      </c>
      <c r="C7" s="137">
        <v>6</v>
      </c>
      <c r="D7" s="137" t="s">
        <v>748</v>
      </c>
      <c r="E7" s="137" t="s">
        <v>504</v>
      </c>
      <c r="F7" s="137" t="s">
        <v>517</v>
      </c>
      <c r="G7" s="137" t="s">
        <v>518</v>
      </c>
      <c r="H7" s="137" t="s">
        <v>519</v>
      </c>
      <c r="I7" s="160" t="s">
        <v>826</v>
      </c>
      <c r="J7" s="137" t="s">
        <v>521</v>
      </c>
      <c r="K7" s="137" t="s">
        <v>522</v>
      </c>
      <c r="L7" s="137" t="s">
        <v>523</v>
      </c>
      <c r="M7" s="137" t="s">
        <v>97</v>
      </c>
      <c r="N7" s="137" t="s">
        <v>98</v>
      </c>
      <c r="O7" s="137" t="s">
        <v>99</v>
      </c>
      <c r="P7" s="137" t="s">
        <v>524</v>
      </c>
      <c r="Q7" s="137" t="s">
        <v>101</v>
      </c>
      <c r="R7" s="137" t="s">
        <v>102</v>
      </c>
      <c r="S7" s="137" t="s">
        <v>103</v>
      </c>
      <c r="T7" s="137" t="s">
        <v>104</v>
      </c>
      <c r="U7" s="137" t="s">
        <v>525</v>
      </c>
      <c r="V7" s="137">
        <v>0</v>
      </c>
    </row>
    <row r="8" spans="1:22" ht="81">
      <c r="A8" s="161" t="s">
        <v>781</v>
      </c>
      <c r="B8" s="137" t="s">
        <v>754</v>
      </c>
      <c r="C8" s="137">
        <v>7</v>
      </c>
      <c r="D8" s="137" t="s">
        <v>748</v>
      </c>
      <c r="E8" s="137" t="s">
        <v>504</v>
      </c>
      <c r="F8" s="137" t="s">
        <v>517</v>
      </c>
      <c r="G8" s="137" t="s">
        <v>518</v>
      </c>
      <c r="H8" s="137" t="s">
        <v>519</v>
      </c>
      <c r="I8" s="137" t="s">
        <v>520</v>
      </c>
      <c r="J8" s="137" t="s">
        <v>521</v>
      </c>
      <c r="K8" s="137" t="s">
        <v>522</v>
      </c>
      <c r="L8" s="137" t="s">
        <v>523</v>
      </c>
      <c r="M8" s="137" t="s">
        <v>97</v>
      </c>
      <c r="N8" s="137" t="s">
        <v>98</v>
      </c>
      <c r="O8" s="137" t="s">
        <v>99</v>
      </c>
      <c r="P8" s="137" t="s">
        <v>524</v>
      </c>
      <c r="Q8" s="137" t="s">
        <v>101</v>
      </c>
      <c r="R8" s="137" t="s">
        <v>102</v>
      </c>
      <c r="S8" s="137" t="s">
        <v>103</v>
      </c>
      <c r="T8" s="137" t="s">
        <v>104</v>
      </c>
      <c r="U8" s="137" t="s">
        <v>525</v>
      </c>
      <c r="V8" s="137">
        <v>0</v>
      </c>
    </row>
    <row r="9" spans="1:22" ht="40.5">
      <c r="A9" s="161" t="s">
        <v>1027</v>
      </c>
      <c r="B9" s="137" t="s">
        <v>754</v>
      </c>
      <c r="C9" s="137">
        <v>24</v>
      </c>
      <c r="D9" s="137" t="s">
        <v>748</v>
      </c>
      <c r="E9" s="137" t="s">
        <v>504</v>
      </c>
      <c r="F9" s="137" t="s">
        <v>517</v>
      </c>
      <c r="G9" s="137" t="s">
        <v>518</v>
      </c>
      <c r="H9" s="137" t="s">
        <v>519</v>
      </c>
      <c r="I9" s="137" t="s">
        <v>520</v>
      </c>
      <c r="J9" s="137" t="s">
        <v>521</v>
      </c>
      <c r="K9" s="137" t="s">
        <v>522</v>
      </c>
      <c r="L9" s="137" t="s">
        <v>523</v>
      </c>
      <c r="M9" s="137" t="s">
        <v>97</v>
      </c>
      <c r="N9" s="137" t="s">
        <v>98</v>
      </c>
      <c r="O9" s="137" t="s">
        <v>99</v>
      </c>
      <c r="P9" s="137" t="s">
        <v>524</v>
      </c>
      <c r="Q9" s="137" t="s">
        <v>101</v>
      </c>
      <c r="R9" s="137" t="s">
        <v>102</v>
      </c>
      <c r="S9" s="137" t="s">
        <v>103</v>
      </c>
      <c r="T9" s="137" t="s">
        <v>104</v>
      </c>
      <c r="U9" s="137" t="s">
        <v>525</v>
      </c>
      <c r="V9" s="137">
        <v>0</v>
      </c>
    </row>
  </sheetData>
  <phoneticPr fontId="27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V9"/>
  <sheetViews>
    <sheetView workbookViewId="0">
      <pane ySplit="1" topLeftCell="A2" activePane="bottomLeft" state="frozen"/>
      <selection pane="bottomLeft" activeCell="E13" sqref="E13"/>
    </sheetView>
  </sheetViews>
  <sheetFormatPr defaultRowHeight="13.5"/>
  <cols>
    <col min="1" max="1" width="55.75" style="134" customWidth="1"/>
    <col min="2" max="2" width="10.875" style="134" bestFit="1" customWidth="1"/>
    <col min="3" max="3" width="6.5" style="134" bestFit="1" customWidth="1"/>
    <col min="4" max="4" width="9.375" style="134" bestFit="1" customWidth="1"/>
    <col min="5" max="5" width="18.875" style="134" bestFit="1" customWidth="1"/>
    <col min="6" max="6" width="19.375" style="134" bestFit="1" customWidth="1"/>
    <col min="7" max="7" width="11.625" style="134" bestFit="1" customWidth="1"/>
    <col min="8" max="8" width="7.375" style="134" bestFit="1" customWidth="1"/>
    <col min="9" max="9" width="6.25" style="134" bestFit="1" customWidth="1"/>
    <col min="10" max="10" width="11.625" style="134" bestFit="1" customWidth="1"/>
    <col min="11" max="11" width="19.875" style="134" bestFit="1" customWidth="1"/>
    <col min="12" max="12" width="16.625" style="134" bestFit="1" customWidth="1"/>
    <col min="13" max="13" width="18.75" style="134" bestFit="1" customWidth="1"/>
    <col min="14" max="14" width="10" style="134" bestFit="1" customWidth="1"/>
    <col min="15" max="15" width="10.5" style="134" bestFit="1" customWidth="1"/>
    <col min="16" max="16" width="19.875" style="134" bestFit="1" customWidth="1"/>
    <col min="17" max="17" width="15.5" style="134" bestFit="1" customWidth="1"/>
    <col min="18" max="18" width="17.625" style="134" bestFit="1" customWidth="1"/>
    <col min="19" max="19" width="9" style="134"/>
    <col min="20" max="20" width="7.75" style="134" bestFit="1" customWidth="1"/>
    <col min="21" max="21" width="19.875" style="134" bestFit="1" customWidth="1"/>
    <col min="22" max="22" width="7.375" style="134" bestFit="1" customWidth="1"/>
    <col min="23" max="16384" width="9" style="134"/>
  </cols>
  <sheetData>
    <row r="1" spans="1:22">
      <c r="A1" s="135" t="s">
        <v>126</v>
      </c>
      <c r="B1" s="135" t="s">
        <v>127</v>
      </c>
      <c r="C1" s="151" t="s">
        <v>190</v>
      </c>
      <c r="D1" s="151" t="s">
        <v>138</v>
      </c>
      <c r="E1" s="151" t="s">
        <v>171</v>
      </c>
      <c r="F1" s="152" t="s">
        <v>172</v>
      </c>
      <c r="G1" s="152" t="s">
        <v>194</v>
      </c>
      <c r="H1" s="152" t="s">
        <v>182</v>
      </c>
      <c r="I1" s="152" t="s">
        <v>157</v>
      </c>
      <c r="J1" s="152" t="s">
        <v>158</v>
      </c>
      <c r="K1" s="152" t="s">
        <v>159</v>
      </c>
      <c r="L1" s="152" t="s">
        <v>160</v>
      </c>
      <c r="M1" s="152" t="s">
        <v>161</v>
      </c>
      <c r="N1" s="152" t="s">
        <v>162</v>
      </c>
      <c r="O1" s="152" t="s">
        <v>163</v>
      </c>
      <c r="P1" s="152" t="s">
        <v>164</v>
      </c>
      <c r="Q1" s="152" t="s">
        <v>165</v>
      </c>
      <c r="R1" s="152" t="s">
        <v>166</v>
      </c>
      <c r="S1" s="152" t="s">
        <v>167</v>
      </c>
      <c r="T1" s="152" t="s">
        <v>168</v>
      </c>
      <c r="U1" s="152" t="s">
        <v>189</v>
      </c>
      <c r="V1" s="152" t="s">
        <v>169</v>
      </c>
    </row>
    <row r="2" spans="1:22" ht="67.5">
      <c r="A2" s="161" t="s">
        <v>763</v>
      </c>
      <c r="B2" s="137" t="s">
        <v>754</v>
      </c>
      <c r="C2" s="160" t="s">
        <v>827</v>
      </c>
      <c r="D2" s="137" t="s">
        <v>836</v>
      </c>
      <c r="E2" s="137" t="s">
        <v>560</v>
      </c>
      <c r="F2" s="137" t="s">
        <v>517</v>
      </c>
      <c r="G2" s="137" t="s">
        <v>527</v>
      </c>
      <c r="H2" s="137" t="s">
        <v>528</v>
      </c>
      <c r="I2" s="137" t="s">
        <v>831</v>
      </c>
      <c r="J2" s="137" t="s">
        <v>529</v>
      </c>
      <c r="K2" s="137" t="s">
        <v>530</v>
      </c>
      <c r="L2" s="137" t="s">
        <v>97</v>
      </c>
      <c r="M2" s="137" t="s">
        <v>98</v>
      </c>
      <c r="N2" s="137" t="s">
        <v>99</v>
      </c>
      <c r="O2" s="137" t="s">
        <v>100</v>
      </c>
      <c r="P2" s="137" t="s">
        <v>531</v>
      </c>
      <c r="Q2" s="137" t="s">
        <v>102</v>
      </c>
      <c r="R2" s="137" t="s">
        <v>103</v>
      </c>
      <c r="S2" s="137" t="s">
        <v>104</v>
      </c>
      <c r="T2" s="137" t="s">
        <v>105</v>
      </c>
      <c r="U2" s="137" t="s">
        <v>532</v>
      </c>
      <c r="V2" s="137">
        <v>0</v>
      </c>
    </row>
    <row r="3" spans="1:22" ht="108">
      <c r="A3" s="162" t="s">
        <v>829</v>
      </c>
      <c r="B3" s="137" t="s">
        <v>754</v>
      </c>
      <c r="C3" s="137">
        <v>1</v>
      </c>
      <c r="D3" s="137" t="s">
        <v>836</v>
      </c>
      <c r="E3" s="137" t="s">
        <v>560</v>
      </c>
      <c r="F3" s="137" t="s">
        <v>517</v>
      </c>
      <c r="G3" s="137" t="s">
        <v>527</v>
      </c>
      <c r="H3" s="137" t="s">
        <v>528</v>
      </c>
      <c r="I3" s="137" t="s">
        <v>831</v>
      </c>
      <c r="J3" s="137" t="s">
        <v>529</v>
      </c>
      <c r="K3" s="137" t="s">
        <v>530</v>
      </c>
      <c r="L3" s="137" t="s">
        <v>97</v>
      </c>
      <c r="M3" s="137" t="s">
        <v>98</v>
      </c>
      <c r="N3" s="137" t="s">
        <v>99</v>
      </c>
      <c r="O3" s="137" t="s">
        <v>100</v>
      </c>
      <c r="P3" s="137" t="s">
        <v>531</v>
      </c>
      <c r="Q3" s="137" t="s">
        <v>102</v>
      </c>
      <c r="R3" s="137" t="s">
        <v>103</v>
      </c>
      <c r="S3" s="137" t="s">
        <v>104</v>
      </c>
      <c r="T3" s="137" t="s">
        <v>105</v>
      </c>
      <c r="U3" s="137" t="s">
        <v>532</v>
      </c>
      <c r="V3" s="137">
        <v>0</v>
      </c>
    </row>
    <row r="4" spans="1:22" ht="67.5">
      <c r="A4" s="162" t="s">
        <v>760</v>
      </c>
      <c r="B4" s="137" t="s">
        <v>754</v>
      </c>
      <c r="C4" s="137">
        <v>2</v>
      </c>
      <c r="D4" s="137" t="s">
        <v>533</v>
      </c>
      <c r="E4" s="137" t="s">
        <v>559</v>
      </c>
      <c r="F4" s="137" t="s">
        <v>517</v>
      </c>
      <c r="G4" s="137" t="s">
        <v>527</v>
      </c>
      <c r="H4" s="137" t="s">
        <v>528</v>
      </c>
      <c r="I4" s="137" t="s">
        <v>831</v>
      </c>
      <c r="J4" s="137" t="s">
        <v>529</v>
      </c>
      <c r="K4" s="137" t="s">
        <v>530</v>
      </c>
      <c r="L4" s="137" t="s">
        <v>97</v>
      </c>
      <c r="M4" s="137" t="s">
        <v>98</v>
      </c>
      <c r="N4" s="137" t="s">
        <v>99</v>
      </c>
      <c r="O4" s="137" t="s">
        <v>100</v>
      </c>
      <c r="P4" s="137" t="s">
        <v>531</v>
      </c>
      <c r="Q4" s="137" t="s">
        <v>102</v>
      </c>
      <c r="R4" s="137" t="s">
        <v>103</v>
      </c>
      <c r="S4" s="137" t="s">
        <v>104</v>
      </c>
      <c r="T4" s="137" t="s">
        <v>105</v>
      </c>
      <c r="U4" s="137" t="s">
        <v>532</v>
      </c>
      <c r="V4" s="137">
        <v>0</v>
      </c>
    </row>
    <row r="5" spans="1:22" ht="67.5">
      <c r="A5" s="161" t="s">
        <v>822</v>
      </c>
      <c r="B5" s="137" t="s">
        <v>754</v>
      </c>
      <c r="C5" s="137">
        <v>3</v>
      </c>
      <c r="D5" s="137" t="s">
        <v>836</v>
      </c>
      <c r="E5" s="137" t="s">
        <v>559</v>
      </c>
      <c r="F5" s="137" t="s">
        <v>517</v>
      </c>
      <c r="G5" s="137" t="s">
        <v>527</v>
      </c>
      <c r="H5" s="137" t="s">
        <v>528</v>
      </c>
      <c r="I5" s="137" t="s">
        <v>831</v>
      </c>
      <c r="J5" s="137" t="s">
        <v>529</v>
      </c>
      <c r="K5" s="137" t="s">
        <v>530</v>
      </c>
      <c r="L5" s="137" t="s">
        <v>97</v>
      </c>
      <c r="M5" s="137" t="s">
        <v>98</v>
      </c>
      <c r="N5" s="137" t="s">
        <v>99</v>
      </c>
      <c r="O5" s="137" t="s">
        <v>100</v>
      </c>
      <c r="P5" s="137" t="s">
        <v>531</v>
      </c>
      <c r="Q5" s="137" t="s">
        <v>102</v>
      </c>
      <c r="R5" s="137" t="s">
        <v>103</v>
      </c>
      <c r="S5" s="137" t="s">
        <v>104</v>
      </c>
      <c r="T5" s="137" t="s">
        <v>105</v>
      </c>
      <c r="U5" s="137" t="s">
        <v>532</v>
      </c>
      <c r="V5" s="137">
        <v>0</v>
      </c>
    </row>
    <row r="6" spans="1:22" ht="67.5">
      <c r="A6" s="162" t="s">
        <v>762</v>
      </c>
      <c r="B6" s="137" t="s">
        <v>754</v>
      </c>
      <c r="C6" s="137">
        <v>4</v>
      </c>
      <c r="D6" s="137" t="s">
        <v>840</v>
      </c>
      <c r="E6" s="137" t="s">
        <v>559</v>
      </c>
      <c r="F6" s="137" t="s">
        <v>517</v>
      </c>
      <c r="G6" s="137" t="s">
        <v>527</v>
      </c>
      <c r="H6" s="137" t="s">
        <v>528</v>
      </c>
      <c r="I6" s="137" t="s">
        <v>831</v>
      </c>
      <c r="J6" s="137" t="s">
        <v>529</v>
      </c>
      <c r="K6" s="137" t="s">
        <v>530</v>
      </c>
      <c r="L6" s="137" t="s">
        <v>97</v>
      </c>
      <c r="M6" s="137" t="s">
        <v>98</v>
      </c>
      <c r="N6" s="137" t="s">
        <v>99</v>
      </c>
      <c r="O6" s="137" t="s">
        <v>100</v>
      </c>
      <c r="P6" s="137" t="s">
        <v>531</v>
      </c>
      <c r="Q6" s="137" t="s">
        <v>102</v>
      </c>
      <c r="R6" s="137" t="s">
        <v>103</v>
      </c>
      <c r="S6" s="137" t="s">
        <v>104</v>
      </c>
      <c r="T6" s="137" t="s">
        <v>105</v>
      </c>
      <c r="U6" s="137" t="s">
        <v>532</v>
      </c>
      <c r="V6" s="137">
        <v>0</v>
      </c>
    </row>
    <row r="7" spans="1:22" ht="67.5">
      <c r="A7" s="162" t="s">
        <v>761</v>
      </c>
      <c r="B7" s="137" t="s">
        <v>754</v>
      </c>
      <c r="C7" s="137">
        <v>5</v>
      </c>
      <c r="D7" s="137" t="s">
        <v>596</v>
      </c>
      <c r="E7" s="137" t="s">
        <v>559</v>
      </c>
      <c r="F7" s="137" t="s">
        <v>517</v>
      </c>
      <c r="G7" s="137" t="s">
        <v>527</v>
      </c>
      <c r="H7" s="137" t="s">
        <v>528</v>
      </c>
      <c r="I7" s="137" t="s">
        <v>831</v>
      </c>
      <c r="J7" s="137" t="s">
        <v>529</v>
      </c>
      <c r="K7" s="137" t="s">
        <v>530</v>
      </c>
      <c r="L7" s="137" t="s">
        <v>97</v>
      </c>
      <c r="M7" s="137" t="s">
        <v>98</v>
      </c>
      <c r="N7" s="137" t="s">
        <v>99</v>
      </c>
      <c r="O7" s="137" t="s">
        <v>100</v>
      </c>
      <c r="P7" s="137" t="s">
        <v>531</v>
      </c>
      <c r="Q7" s="137" t="s">
        <v>102</v>
      </c>
      <c r="R7" s="137" t="s">
        <v>103</v>
      </c>
      <c r="S7" s="137" t="s">
        <v>104</v>
      </c>
      <c r="T7" s="137" t="s">
        <v>105</v>
      </c>
      <c r="U7" s="137" t="s">
        <v>532</v>
      </c>
      <c r="V7" s="137">
        <v>0</v>
      </c>
    </row>
    <row r="8" spans="1:22" ht="40.5">
      <c r="A8" s="161" t="s">
        <v>825</v>
      </c>
      <c r="B8" s="137" t="s">
        <v>754</v>
      </c>
      <c r="C8" s="137">
        <v>6</v>
      </c>
      <c r="D8" s="137" t="s">
        <v>597</v>
      </c>
      <c r="E8" s="137" t="s">
        <v>559</v>
      </c>
      <c r="F8" s="137" t="s">
        <v>517</v>
      </c>
      <c r="G8" s="137" t="s">
        <v>527</v>
      </c>
      <c r="H8" s="137" t="s">
        <v>832</v>
      </c>
      <c r="I8" s="137" t="s">
        <v>831</v>
      </c>
      <c r="J8" s="137" t="s">
        <v>529</v>
      </c>
      <c r="K8" s="137" t="s">
        <v>530</v>
      </c>
      <c r="L8" s="137" t="s">
        <v>97</v>
      </c>
      <c r="M8" s="137" t="s">
        <v>98</v>
      </c>
      <c r="N8" s="137" t="s">
        <v>99</v>
      </c>
      <c r="O8" s="137" t="s">
        <v>100</v>
      </c>
      <c r="P8" s="137" t="s">
        <v>531</v>
      </c>
      <c r="Q8" s="137" t="s">
        <v>102</v>
      </c>
      <c r="R8" s="137" t="s">
        <v>103</v>
      </c>
      <c r="S8" s="137" t="s">
        <v>104</v>
      </c>
      <c r="T8" s="137" t="s">
        <v>105</v>
      </c>
      <c r="U8" s="137" t="s">
        <v>532</v>
      </c>
      <c r="V8" s="137">
        <v>0</v>
      </c>
    </row>
    <row r="9" spans="1:22" ht="40.5">
      <c r="A9" s="161" t="s">
        <v>830</v>
      </c>
      <c r="B9" s="137" t="s">
        <v>754</v>
      </c>
      <c r="C9" s="137">
        <v>7</v>
      </c>
      <c r="D9" s="137" t="s">
        <v>836</v>
      </c>
      <c r="E9" s="137" t="s">
        <v>559</v>
      </c>
      <c r="F9" s="137" t="s">
        <v>517</v>
      </c>
      <c r="G9" s="137" t="s">
        <v>527</v>
      </c>
      <c r="H9" s="137" t="s">
        <v>528</v>
      </c>
      <c r="I9" s="160" t="s">
        <v>826</v>
      </c>
      <c r="J9" s="137" t="s">
        <v>529</v>
      </c>
      <c r="K9" s="137" t="s">
        <v>530</v>
      </c>
      <c r="L9" s="137" t="s">
        <v>97</v>
      </c>
      <c r="M9" s="137" t="s">
        <v>98</v>
      </c>
      <c r="N9" s="137" t="s">
        <v>99</v>
      </c>
      <c r="O9" s="137" t="s">
        <v>100</v>
      </c>
      <c r="P9" s="137" t="s">
        <v>531</v>
      </c>
      <c r="Q9" s="137" t="s">
        <v>102</v>
      </c>
      <c r="R9" s="137" t="s">
        <v>103</v>
      </c>
      <c r="S9" s="137" t="s">
        <v>104</v>
      </c>
      <c r="T9" s="137" t="s">
        <v>105</v>
      </c>
      <c r="U9" s="137" t="s">
        <v>532</v>
      </c>
      <c r="V9" s="137">
        <v>0</v>
      </c>
    </row>
  </sheetData>
  <phoneticPr fontId="27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AM9"/>
  <sheetViews>
    <sheetView workbookViewId="0">
      <pane ySplit="1" topLeftCell="A2" activePane="bottomLeft" state="frozen"/>
      <selection pane="bottomLeft" activeCell="A9" sqref="A9"/>
    </sheetView>
  </sheetViews>
  <sheetFormatPr defaultRowHeight="13.5"/>
  <cols>
    <col min="1" max="1" width="51" style="134" customWidth="1"/>
    <col min="2" max="2" width="10.875" style="134" bestFit="1" customWidth="1"/>
    <col min="3" max="3" width="6.75" style="134" bestFit="1" customWidth="1"/>
    <col min="4" max="5" width="11.625" style="134" bestFit="1" customWidth="1"/>
    <col min="6" max="6" width="7.375" style="134" bestFit="1" customWidth="1"/>
    <col min="7" max="7" width="25.625" style="134" bestFit="1" customWidth="1"/>
    <col min="8" max="8" width="7.875" style="134" bestFit="1" customWidth="1"/>
    <col min="9" max="9" width="11.75" style="134" bestFit="1" customWidth="1"/>
    <col min="10" max="10" width="10.5" style="134" bestFit="1" customWidth="1"/>
    <col min="11" max="11" width="19.25" style="134" bestFit="1" customWidth="1"/>
    <col min="12" max="12" width="10.5" style="134" bestFit="1" customWidth="1"/>
    <col min="13" max="13" width="14.75" style="134" bestFit="1" customWidth="1"/>
    <col min="14" max="14" width="16.875" style="134" bestFit="1" customWidth="1"/>
    <col min="15" max="15" width="18.625" style="134" bestFit="1" customWidth="1"/>
    <col min="16" max="16" width="17.375" style="134" bestFit="1" customWidth="1"/>
    <col min="17" max="17" width="17.25" style="134" bestFit="1" customWidth="1"/>
    <col min="18" max="18" width="15.125" style="134" bestFit="1" customWidth="1"/>
    <col min="19" max="19" width="21.75" style="134" bestFit="1" customWidth="1"/>
    <col min="20" max="20" width="18.5" style="134" bestFit="1" customWidth="1"/>
    <col min="21" max="21" width="14" style="134" bestFit="1" customWidth="1"/>
    <col min="22" max="22" width="19.25" style="134" bestFit="1" customWidth="1"/>
    <col min="23" max="23" width="15.25" style="134" bestFit="1" customWidth="1"/>
    <col min="24" max="24" width="20" style="134" bestFit="1" customWidth="1"/>
    <col min="25" max="25" width="19.875" style="134" bestFit="1" customWidth="1"/>
    <col min="26" max="26" width="6.25" style="134" bestFit="1" customWidth="1"/>
    <col min="27" max="27" width="11.625" style="134" bestFit="1" customWidth="1"/>
    <col min="28" max="28" width="19.875" style="134" bestFit="1" customWidth="1"/>
    <col min="29" max="29" width="16.625" style="134" bestFit="1" customWidth="1"/>
    <col min="30" max="30" width="18.75" style="134" bestFit="1" customWidth="1"/>
    <col min="31" max="31" width="10" style="134" bestFit="1" customWidth="1"/>
    <col min="32" max="32" width="10.5" style="134" bestFit="1" customWidth="1"/>
    <col min="33" max="33" width="19.875" style="134" bestFit="1" customWidth="1"/>
    <col min="34" max="34" width="15.5" style="134" bestFit="1" customWidth="1"/>
    <col min="35" max="35" width="17.625" style="134" bestFit="1" customWidth="1"/>
    <col min="36" max="36" width="9" style="134"/>
    <col min="37" max="37" width="7.75" style="134" bestFit="1" customWidth="1"/>
    <col min="38" max="38" width="19.875" style="134" bestFit="1" customWidth="1"/>
    <col min="39" max="39" width="7.375" style="134" bestFit="1" customWidth="1"/>
    <col min="40" max="16384" width="9" style="134"/>
  </cols>
  <sheetData>
    <row r="1" spans="1:39">
      <c r="A1" s="135" t="s">
        <v>126</v>
      </c>
      <c r="B1" s="135" t="s">
        <v>127</v>
      </c>
      <c r="C1" s="151" t="s">
        <v>181</v>
      </c>
      <c r="D1" s="151" t="s">
        <v>534</v>
      </c>
      <c r="E1" s="152" t="s">
        <v>535</v>
      </c>
      <c r="F1" s="152" t="s">
        <v>182</v>
      </c>
      <c r="G1" s="152" t="s">
        <v>536</v>
      </c>
      <c r="H1" s="152" t="s">
        <v>183</v>
      </c>
      <c r="I1" s="152" t="s">
        <v>537</v>
      </c>
      <c r="J1" s="152" t="s">
        <v>184</v>
      </c>
      <c r="K1" s="152" t="s">
        <v>538</v>
      </c>
      <c r="L1" s="152" t="s">
        <v>539</v>
      </c>
      <c r="M1" s="152" t="s">
        <v>540</v>
      </c>
      <c r="N1" s="152" t="s">
        <v>541</v>
      </c>
      <c r="O1" s="152" t="s">
        <v>542</v>
      </c>
      <c r="P1" s="152" t="s">
        <v>543</v>
      </c>
      <c r="Q1" s="152" t="s">
        <v>544</v>
      </c>
      <c r="R1" s="152" t="s">
        <v>545</v>
      </c>
      <c r="S1" s="152" t="s">
        <v>546</v>
      </c>
      <c r="T1" s="152" t="s">
        <v>547</v>
      </c>
      <c r="U1" s="152" t="s">
        <v>548</v>
      </c>
      <c r="V1" s="152" t="s">
        <v>549</v>
      </c>
      <c r="W1" s="152" t="s">
        <v>550</v>
      </c>
      <c r="X1" s="152" t="s">
        <v>551</v>
      </c>
      <c r="Y1" s="152" t="s">
        <v>552</v>
      </c>
      <c r="Z1" s="152" t="s">
        <v>157</v>
      </c>
      <c r="AA1" s="152" t="s">
        <v>158</v>
      </c>
      <c r="AB1" s="152" t="s">
        <v>159</v>
      </c>
      <c r="AC1" s="152" t="s">
        <v>160</v>
      </c>
      <c r="AD1" s="152" t="s">
        <v>161</v>
      </c>
      <c r="AE1" s="152" t="s">
        <v>162</v>
      </c>
      <c r="AF1" s="152" t="s">
        <v>163</v>
      </c>
      <c r="AG1" s="152" t="s">
        <v>164</v>
      </c>
      <c r="AH1" s="152" t="s">
        <v>165</v>
      </c>
      <c r="AI1" s="152" t="s">
        <v>166</v>
      </c>
      <c r="AJ1" s="152" t="s">
        <v>167</v>
      </c>
      <c r="AK1" s="152" t="s">
        <v>168</v>
      </c>
      <c r="AL1" s="152" t="s">
        <v>189</v>
      </c>
      <c r="AM1" s="152" t="s">
        <v>169</v>
      </c>
    </row>
    <row r="2" spans="1:39" ht="67.5">
      <c r="A2" s="161" t="s">
        <v>764</v>
      </c>
      <c r="B2" s="137" t="s">
        <v>754</v>
      </c>
      <c r="C2" s="137">
        <v>1</v>
      </c>
      <c r="D2" s="137" t="s">
        <v>564</v>
      </c>
      <c r="E2" s="137" t="s">
        <v>562</v>
      </c>
      <c r="F2" s="160" t="s">
        <v>558</v>
      </c>
      <c r="G2" s="137" t="s">
        <v>518</v>
      </c>
      <c r="H2" s="137" t="s">
        <v>528</v>
      </c>
      <c r="I2" s="137" t="s">
        <v>521</v>
      </c>
      <c r="J2" s="137" t="s">
        <v>529</v>
      </c>
      <c r="K2" s="137" t="s">
        <v>523</v>
      </c>
      <c r="L2" s="137" t="s">
        <v>97</v>
      </c>
      <c r="M2" s="137" t="s">
        <v>98</v>
      </c>
      <c r="N2" s="137" t="s">
        <v>566</v>
      </c>
      <c r="O2" s="137" t="s">
        <v>100</v>
      </c>
      <c r="P2" s="137" t="s">
        <v>101</v>
      </c>
      <c r="Q2" s="137" t="s">
        <v>102</v>
      </c>
      <c r="R2" s="137" t="s">
        <v>103</v>
      </c>
      <c r="S2" s="137" t="s">
        <v>104</v>
      </c>
      <c r="T2" s="137" t="s">
        <v>105</v>
      </c>
      <c r="U2" s="137">
        <v>19</v>
      </c>
      <c r="V2" s="137" t="s">
        <v>108</v>
      </c>
      <c r="W2" s="137" t="s">
        <v>109</v>
      </c>
      <c r="X2" s="137" t="s">
        <v>110</v>
      </c>
      <c r="Y2" s="137" t="s">
        <v>554</v>
      </c>
      <c r="Z2" s="137" t="s">
        <v>831</v>
      </c>
      <c r="AA2" s="137" t="s">
        <v>113</v>
      </c>
      <c r="AB2" s="137" t="s">
        <v>555</v>
      </c>
      <c r="AC2" s="137" t="s">
        <v>115</v>
      </c>
      <c r="AD2" s="137" t="s">
        <v>116</v>
      </c>
      <c r="AE2" s="137" t="s">
        <v>117</v>
      </c>
      <c r="AF2" s="137" t="s">
        <v>118</v>
      </c>
      <c r="AG2" s="137" t="s">
        <v>556</v>
      </c>
      <c r="AH2" s="137" t="s">
        <v>120</v>
      </c>
      <c r="AI2" s="137" t="s">
        <v>197</v>
      </c>
      <c r="AJ2" s="137" t="s">
        <v>272</v>
      </c>
      <c r="AK2" s="137" t="s">
        <v>275</v>
      </c>
      <c r="AL2" s="137" t="s">
        <v>557</v>
      </c>
      <c r="AM2" s="137">
        <v>0</v>
      </c>
    </row>
    <row r="3" spans="1:39" ht="135">
      <c r="A3" s="162" t="s">
        <v>834</v>
      </c>
      <c r="B3" s="137" t="s">
        <v>754</v>
      </c>
      <c r="C3" s="137">
        <v>2</v>
      </c>
      <c r="D3" s="137" t="s">
        <v>564</v>
      </c>
      <c r="E3" s="160" t="s">
        <v>560</v>
      </c>
      <c r="F3" s="137" t="s">
        <v>832</v>
      </c>
      <c r="G3" s="137" t="s">
        <v>518</v>
      </c>
      <c r="H3" s="137" t="s">
        <v>528</v>
      </c>
      <c r="I3" s="137" t="s">
        <v>521</v>
      </c>
      <c r="J3" s="137" t="s">
        <v>529</v>
      </c>
      <c r="K3" s="137" t="s">
        <v>523</v>
      </c>
      <c r="L3" s="137" t="s">
        <v>97</v>
      </c>
      <c r="M3" s="137" t="s">
        <v>98</v>
      </c>
      <c r="N3" s="137" t="s">
        <v>566</v>
      </c>
      <c r="O3" s="137" t="s">
        <v>100</v>
      </c>
      <c r="P3" s="137" t="s">
        <v>101</v>
      </c>
      <c r="Q3" s="137" t="s">
        <v>102</v>
      </c>
      <c r="R3" s="137" t="s">
        <v>103</v>
      </c>
      <c r="S3" s="137" t="s">
        <v>104</v>
      </c>
      <c r="T3" s="137" t="s">
        <v>105</v>
      </c>
      <c r="U3" s="137">
        <v>19</v>
      </c>
      <c r="V3" s="137" t="s">
        <v>108</v>
      </c>
      <c r="W3" s="137" t="s">
        <v>109</v>
      </c>
      <c r="X3" s="137" t="s">
        <v>110</v>
      </c>
      <c r="Y3" s="137" t="s">
        <v>554</v>
      </c>
      <c r="Z3" s="137" t="s">
        <v>831</v>
      </c>
      <c r="AA3" s="137" t="s">
        <v>113</v>
      </c>
      <c r="AB3" s="137" t="s">
        <v>555</v>
      </c>
      <c r="AC3" s="137" t="s">
        <v>115</v>
      </c>
      <c r="AD3" s="137" t="s">
        <v>116</v>
      </c>
      <c r="AE3" s="137" t="s">
        <v>117</v>
      </c>
      <c r="AF3" s="137" t="s">
        <v>118</v>
      </c>
      <c r="AG3" s="137" t="s">
        <v>556</v>
      </c>
      <c r="AH3" s="137" t="s">
        <v>120</v>
      </c>
      <c r="AI3" s="137" t="s">
        <v>197</v>
      </c>
      <c r="AJ3" s="137" t="s">
        <v>272</v>
      </c>
      <c r="AK3" s="137" t="s">
        <v>275</v>
      </c>
      <c r="AL3" s="137" t="s">
        <v>557</v>
      </c>
      <c r="AM3" s="137">
        <v>0</v>
      </c>
    </row>
    <row r="4" spans="1:39" ht="94.5">
      <c r="A4" s="162" t="s">
        <v>765</v>
      </c>
      <c r="B4" s="137" t="s">
        <v>754</v>
      </c>
      <c r="C4" s="137">
        <v>3</v>
      </c>
      <c r="D4" s="160" t="s">
        <v>560</v>
      </c>
      <c r="E4" s="137" t="s">
        <v>561</v>
      </c>
      <c r="F4" s="137" t="s">
        <v>832</v>
      </c>
      <c r="G4" s="137" t="s">
        <v>518</v>
      </c>
      <c r="H4" s="137" t="s">
        <v>528</v>
      </c>
      <c r="I4" s="137" t="s">
        <v>521</v>
      </c>
      <c r="J4" s="137" t="s">
        <v>529</v>
      </c>
      <c r="K4" s="137" t="s">
        <v>523</v>
      </c>
      <c r="L4" s="137" t="s">
        <v>97</v>
      </c>
      <c r="M4" s="137" t="s">
        <v>98</v>
      </c>
      <c r="N4" s="137" t="s">
        <v>565</v>
      </c>
      <c r="O4" s="137" t="s">
        <v>100</v>
      </c>
      <c r="P4" s="137" t="s">
        <v>101</v>
      </c>
      <c r="Q4" s="137" t="s">
        <v>102</v>
      </c>
      <c r="R4" s="137" t="s">
        <v>103</v>
      </c>
      <c r="S4" s="137" t="s">
        <v>104</v>
      </c>
      <c r="T4" s="137" t="s">
        <v>105</v>
      </c>
      <c r="U4" s="137">
        <v>19</v>
      </c>
      <c r="V4" s="137" t="s">
        <v>108</v>
      </c>
      <c r="W4" s="137" t="s">
        <v>109</v>
      </c>
      <c r="X4" s="137" t="s">
        <v>110</v>
      </c>
      <c r="Y4" s="137" t="s">
        <v>554</v>
      </c>
      <c r="Z4" s="137" t="s">
        <v>520</v>
      </c>
      <c r="AA4" s="137" t="s">
        <v>113</v>
      </c>
      <c r="AB4" s="137" t="s">
        <v>555</v>
      </c>
      <c r="AC4" s="137" t="s">
        <v>115</v>
      </c>
      <c r="AD4" s="137" t="s">
        <v>116</v>
      </c>
      <c r="AE4" s="137" t="s">
        <v>117</v>
      </c>
      <c r="AF4" s="137" t="s">
        <v>118</v>
      </c>
      <c r="AG4" s="137" t="s">
        <v>556</v>
      </c>
      <c r="AH4" s="137" t="s">
        <v>120</v>
      </c>
      <c r="AI4" s="137" t="s">
        <v>197</v>
      </c>
      <c r="AJ4" s="137" t="s">
        <v>272</v>
      </c>
      <c r="AK4" s="137" t="s">
        <v>275</v>
      </c>
      <c r="AL4" s="137" t="s">
        <v>557</v>
      </c>
      <c r="AM4" s="137">
        <v>0</v>
      </c>
    </row>
    <row r="5" spans="1:39" ht="94.5">
      <c r="A5" s="161" t="s">
        <v>766</v>
      </c>
      <c r="B5" s="137" t="s">
        <v>754</v>
      </c>
      <c r="C5" s="137">
        <v>4</v>
      </c>
      <c r="D5" s="137" t="s">
        <v>564</v>
      </c>
      <c r="E5" s="160" t="s">
        <v>564</v>
      </c>
      <c r="F5" s="137" t="s">
        <v>528</v>
      </c>
      <c r="G5" s="137" t="s">
        <v>518</v>
      </c>
      <c r="H5" s="137" t="s">
        <v>528</v>
      </c>
      <c r="I5" s="137" t="s">
        <v>521</v>
      </c>
      <c r="J5" s="137" t="s">
        <v>529</v>
      </c>
      <c r="K5" s="137" t="s">
        <v>523</v>
      </c>
      <c r="L5" s="137" t="s">
        <v>97</v>
      </c>
      <c r="M5" s="137" t="s">
        <v>98</v>
      </c>
      <c r="N5" s="137" t="s">
        <v>565</v>
      </c>
      <c r="O5" s="137" t="s">
        <v>100</v>
      </c>
      <c r="P5" s="137" t="s">
        <v>101</v>
      </c>
      <c r="Q5" s="137" t="s">
        <v>102</v>
      </c>
      <c r="R5" s="137" t="s">
        <v>103</v>
      </c>
      <c r="S5" s="137" t="s">
        <v>104</v>
      </c>
      <c r="T5" s="137" t="s">
        <v>105</v>
      </c>
      <c r="U5" s="137">
        <v>19</v>
      </c>
      <c r="V5" s="137" t="s">
        <v>108</v>
      </c>
      <c r="W5" s="137" t="s">
        <v>109</v>
      </c>
      <c r="X5" s="137" t="s">
        <v>110</v>
      </c>
      <c r="Y5" s="137" t="s">
        <v>554</v>
      </c>
      <c r="Z5" s="137" t="s">
        <v>520</v>
      </c>
      <c r="AA5" s="137" t="s">
        <v>113</v>
      </c>
      <c r="AB5" s="137" t="s">
        <v>555</v>
      </c>
      <c r="AC5" s="137" t="s">
        <v>115</v>
      </c>
      <c r="AD5" s="137" t="s">
        <v>116</v>
      </c>
      <c r="AE5" s="137" t="s">
        <v>117</v>
      </c>
      <c r="AF5" s="137" t="s">
        <v>118</v>
      </c>
      <c r="AG5" s="137" t="s">
        <v>556</v>
      </c>
      <c r="AH5" s="137" t="s">
        <v>120</v>
      </c>
      <c r="AI5" s="137" t="s">
        <v>197</v>
      </c>
      <c r="AJ5" s="137" t="s">
        <v>272</v>
      </c>
      <c r="AK5" s="137" t="s">
        <v>275</v>
      </c>
      <c r="AL5" s="137" t="s">
        <v>557</v>
      </c>
      <c r="AM5" s="137">
        <v>0</v>
      </c>
    </row>
    <row r="6" spans="1:39" ht="94.5">
      <c r="A6" s="161" t="s">
        <v>755</v>
      </c>
      <c r="B6" s="137" t="s">
        <v>754</v>
      </c>
      <c r="C6" s="137">
        <v>5</v>
      </c>
      <c r="D6" s="160" t="s">
        <v>561</v>
      </c>
      <c r="E6" s="137" t="s">
        <v>561</v>
      </c>
      <c r="F6" s="137" t="s">
        <v>528</v>
      </c>
      <c r="G6" s="137" t="s">
        <v>518</v>
      </c>
      <c r="H6" s="137" t="s">
        <v>528</v>
      </c>
      <c r="I6" s="137" t="s">
        <v>521</v>
      </c>
      <c r="J6" s="137" t="s">
        <v>529</v>
      </c>
      <c r="K6" s="137" t="s">
        <v>523</v>
      </c>
      <c r="L6" s="137" t="s">
        <v>97</v>
      </c>
      <c r="M6" s="137" t="s">
        <v>98</v>
      </c>
      <c r="N6" s="137" t="s">
        <v>565</v>
      </c>
      <c r="O6" s="137" t="s">
        <v>100</v>
      </c>
      <c r="P6" s="137" t="s">
        <v>101</v>
      </c>
      <c r="Q6" s="137" t="s">
        <v>102</v>
      </c>
      <c r="R6" s="137" t="s">
        <v>103</v>
      </c>
      <c r="S6" s="137" t="s">
        <v>104</v>
      </c>
      <c r="T6" s="137" t="s">
        <v>105</v>
      </c>
      <c r="U6" s="137">
        <v>19</v>
      </c>
      <c r="V6" s="137" t="s">
        <v>108</v>
      </c>
      <c r="W6" s="137" t="s">
        <v>109</v>
      </c>
      <c r="X6" s="137" t="s">
        <v>110</v>
      </c>
      <c r="Y6" s="137" t="s">
        <v>554</v>
      </c>
      <c r="Z6" s="137" t="s">
        <v>520</v>
      </c>
      <c r="AA6" s="137" t="s">
        <v>113</v>
      </c>
      <c r="AB6" s="137" t="s">
        <v>555</v>
      </c>
      <c r="AC6" s="137" t="s">
        <v>115</v>
      </c>
      <c r="AD6" s="137" t="s">
        <v>116</v>
      </c>
      <c r="AE6" s="137" t="s">
        <v>117</v>
      </c>
      <c r="AF6" s="137" t="s">
        <v>118</v>
      </c>
      <c r="AG6" s="137" t="s">
        <v>556</v>
      </c>
      <c r="AH6" s="137" t="s">
        <v>120</v>
      </c>
      <c r="AI6" s="137" t="s">
        <v>197</v>
      </c>
      <c r="AJ6" s="137" t="s">
        <v>272</v>
      </c>
      <c r="AK6" s="137" t="s">
        <v>275</v>
      </c>
      <c r="AL6" s="137" t="s">
        <v>557</v>
      </c>
      <c r="AM6" s="137">
        <v>0</v>
      </c>
    </row>
    <row r="7" spans="1:39" ht="27">
      <c r="A7" s="162" t="s">
        <v>752</v>
      </c>
      <c r="B7" s="137" t="s">
        <v>754</v>
      </c>
      <c r="C7" s="137">
        <v>6</v>
      </c>
      <c r="D7" s="160" t="s">
        <v>753</v>
      </c>
      <c r="E7" s="160" t="s">
        <v>560</v>
      </c>
      <c r="F7" s="137" t="s">
        <v>528</v>
      </c>
      <c r="G7" s="137" t="s">
        <v>518</v>
      </c>
      <c r="H7" s="137" t="s">
        <v>528</v>
      </c>
      <c r="I7" s="137" t="s">
        <v>521</v>
      </c>
      <c r="J7" s="137" t="s">
        <v>529</v>
      </c>
      <c r="K7" s="137" t="s">
        <v>523</v>
      </c>
      <c r="L7" s="137" t="s">
        <v>97</v>
      </c>
      <c r="M7" s="137" t="s">
        <v>98</v>
      </c>
      <c r="N7" s="137" t="s">
        <v>565</v>
      </c>
      <c r="O7" s="137" t="s">
        <v>100</v>
      </c>
      <c r="P7" s="137" t="s">
        <v>101</v>
      </c>
      <c r="Q7" s="137" t="s">
        <v>102</v>
      </c>
      <c r="R7" s="137" t="s">
        <v>103</v>
      </c>
      <c r="S7" s="137" t="s">
        <v>104</v>
      </c>
      <c r="T7" s="137" t="s">
        <v>105</v>
      </c>
      <c r="U7" s="137">
        <v>19</v>
      </c>
      <c r="V7" s="137" t="s">
        <v>108</v>
      </c>
      <c r="W7" s="137" t="s">
        <v>109</v>
      </c>
      <c r="X7" s="137" t="s">
        <v>110</v>
      </c>
      <c r="Y7" s="137" t="s">
        <v>554</v>
      </c>
      <c r="Z7" s="137" t="s">
        <v>520</v>
      </c>
      <c r="AA7" s="137" t="s">
        <v>113</v>
      </c>
      <c r="AB7" s="137" t="s">
        <v>555</v>
      </c>
      <c r="AC7" s="137" t="s">
        <v>115</v>
      </c>
      <c r="AD7" s="137" t="s">
        <v>116</v>
      </c>
      <c r="AE7" s="137" t="s">
        <v>117</v>
      </c>
      <c r="AF7" s="137" t="s">
        <v>118</v>
      </c>
      <c r="AG7" s="137" t="s">
        <v>556</v>
      </c>
      <c r="AH7" s="137" t="s">
        <v>120</v>
      </c>
      <c r="AI7" s="137" t="s">
        <v>197</v>
      </c>
      <c r="AJ7" s="137" t="s">
        <v>272</v>
      </c>
      <c r="AK7" s="137" t="s">
        <v>275</v>
      </c>
      <c r="AL7" s="137" t="s">
        <v>557</v>
      </c>
      <c r="AM7" s="137">
        <v>0</v>
      </c>
    </row>
    <row r="8" spans="1:39" ht="67.5">
      <c r="A8" s="161" t="s">
        <v>767</v>
      </c>
      <c r="B8" s="137" t="s">
        <v>754</v>
      </c>
      <c r="C8" s="137">
        <v>7</v>
      </c>
      <c r="D8" s="137" t="s">
        <v>563</v>
      </c>
      <c r="E8" s="137" t="s">
        <v>561</v>
      </c>
      <c r="F8" s="137" t="s">
        <v>528</v>
      </c>
      <c r="G8" s="137" t="s">
        <v>518</v>
      </c>
      <c r="H8" s="137" t="s">
        <v>528</v>
      </c>
      <c r="I8" s="137" t="s">
        <v>521</v>
      </c>
      <c r="J8" s="137" t="s">
        <v>529</v>
      </c>
      <c r="K8" s="137" t="s">
        <v>523</v>
      </c>
      <c r="L8" s="137" t="s">
        <v>97</v>
      </c>
      <c r="M8" s="137" t="s">
        <v>98</v>
      </c>
      <c r="N8" s="160" t="s">
        <v>567</v>
      </c>
      <c r="O8" s="137" t="s">
        <v>100</v>
      </c>
      <c r="P8" s="137" t="s">
        <v>101</v>
      </c>
      <c r="Q8" s="137" t="s">
        <v>102</v>
      </c>
      <c r="R8" s="137" t="s">
        <v>103</v>
      </c>
      <c r="S8" s="137" t="s">
        <v>104</v>
      </c>
      <c r="T8" s="137" t="s">
        <v>105</v>
      </c>
      <c r="U8" s="137">
        <v>19</v>
      </c>
      <c r="V8" s="137" t="s">
        <v>108</v>
      </c>
      <c r="W8" s="137" t="s">
        <v>109</v>
      </c>
      <c r="X8" s="137" t="s">
        <v>110</v>
      </c>
      <c r="Y8" s="137" t="s">
        <v>554</v>
      </c>
      <c r="Z8" s="137" t="s">
        <v>520</v>
      </c>
      <c r="AA8" s="137" t="s">
        <v>113</v>
      </c>
      <c r="AB8" s="137" t="s">
        <v>555</v>
      </c>
      <c r="AC8" s="137" t="s">
        <v>115</v>
      </c>
      <c r="AD8" s="137" t="s">
        <v>116</v>
      </c>
      <c r="AE8" s="137" t="s">
        <v>117</v>
      </c>
      <c r="AF8" s="137" t="s">
        <v>118</v>
      </c>
      <c r="AG8" s="137" t="s">
        <v>556</v>
      </c>
      <c r="AH8" s="137" t="s">
        <v>120</v>
      </c>
      <c r="AI8" s="137" t="s">
        <v>197</v>
      </c>
      <c r="AJ8" s="137" t="s">
        <v>272</v>
      </c>
      <c r="AK8" s="137" t="s">
        <v>275</v>
      </c>
      <c r="AL8" s="137" t="s">
        <v>557</v>
      </c>
      <c r="AM8" s="137">
        <v>0</v>
      </c>
    </row>
    <row r="9" spans="1:39" ht="40.5">
      <c r="A9" s="161" t="s">
        <v>1026</v>
      </c>
      <c r="B9" s="137" t="s">
        <v>754</v>
      </c>
      <c r="C9" s="137">
        <v>8</v>
      </c>
      <c r="D9" s="137" t="s">
        <v>563</v>
      </c>
      <c r="E9" s="137" t="s">
        <v>561</v>
      </c>
      <c r="F9" s="137" t="s">
        <v>528</v>
      </c>
      <c r="G9" s="137" t="s">
        <v>518</v>
      </c>
      <c r="H9" s="137" t="s">
        <v>528</v>
      </c>
      <c r="I9" s="137" t="s">
        <v>521</v>
      </c>
      <c r="J9" s="137" t="s">
        <v>529</v>
      </c>
      <c r="K9" s="137" t="s">
        <v>523</v>
      </c>
      <c r="L9" s="137" t="s">
        <v>97</v>
      </c>
      <c r="M9" s="137" t="s">
        <v>98</v>
      </c>
      <c r="N9" s="137" t="s">
        <v>565</v>
      </c>
      <c r="O9" s="137" t="s">
        <v>100</v>
      </c>
      <c r="P9" s="137" t="s">
        <v>101</v>
      </c>
      <c r="Q9" s="137" t="s">
        <v>102</v>
      </c>
      <c r="R9" s="137" t="s">
        <v>103</v>
      </c>
      <c r="S9" s="137" t="s">
        <v>104</v>
      </c>
      <c r="T9" s="137" t="s">
        <v>105</v>
      </c>
      <c r="U9" s="137">
        <v>19</v>
      </c>
      <c r="V9" s="137" t="s">
        <v>108</v>
      </c>
      <c r="W9" s="137" t="s">
        <v>109</v>
      </c>
      <c r="X9" s="137" t="s">
        <v>110</v>
      </c>
      <c r="Y9" s="137" t="s">
        <v>554</v>
      </c>
      <c r="Z9" s="160" t="s">
        <v>826</v>
      </c>
      <c r="AA9" s="137" t="s">
        <v>113</v>
      </c>
      <c r="AB9" s="137" t="s">
        <v>555</v>
      </c>
      <c r="AC9" s="137" t="s">
        <v>115</v>
      </c>
      <c r="AD9" s="137" t="s">
        <v>116</v>
      </c>
      <c r="AE9" s="137" t="s">
        <v>117</v>
      </c>
      <c r="AF9" s="137" t="s">
        <v>118</v>
      </c>
      <c r="AG9" s="137" t="s">
        <v>556</v>
      </c>
      <c r="AH9" s="137" t="s">
        <v>120</v>
      </c>
      <c r="AI9" s="137" t="s">
        <v>197</v>
      </c>
      <c r="AJ9" s="137" t="s">
        <v>272</v>
      </c>
      <c r="AK9" s="137" t="s">
        <v>275</v>
      </c>
      <c r="AL9" s="137" t="s">
        <v>557</v>
      </c>
      <c r="AM9" s="137">
        <v>0</v>
      </c>
    </row>
  </sheetData>
  <phoneticPr fontId="27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T13"/>
  <sheetViews>
    <sheetView workbookViewId="0">
      <pane ySplit="1" topLeftCell="A8" activePane="bottomLeft" state="frozen"/>
      <selection pane="bottomLeft" activeCell="A12" sqref="A12:A13"/>
    </sheetView>
  </sheetViews>
  <sheetFormatPr defaultRowHeight="13.5"/>
  <cols>
    <col min="1" max="1" width="48.125" style="134" customWidth="1"/>
    <col min="2" max="2" width="10.875" style="134" bestFit="1" customWidth="1"/>
    <col min="3" max="3" width="6.75" style="134" bestFit="1" customWidth="1"/>
    <col min="4" max="4" width="20.375" style="134" bestFit="1" customWidth="1"/>
    <col min="5" max="5" width="12.625" style="134" bestFit="1" customWidth="1"/>
    <col min="6" max="6" width="11.5" style="134" bestFit="1" customWidth="1"/>
    <col min="7" max="7" width="6.25" style="134" bestFit="1" customWidth="1"/>
    <col min="8" max="8" width="11.625" style="134" bestFit="1" customWidth="1"/>
    <col min="9" max="9" width="19.875" style="134" bestFit="1" customWidth="1"/>
    <col min="10" max="10" width="16.625" style="134" bestFit="1" customWidth="1"/>
    <col min="11" max="11" width="18.75" style="134" bestFit="1" customWidth="1"/>
    <col min="12" max="12" width="10" style="134" bestFit="1" customWidth="1"/>
    <col min="13" max="13" width="10.5" style="134" bestFit="1" customWidth="1"/>
    <col min="14" max="14" width="19.875" style="134" bestFit="1" customWidth="1"/>
    <col min="15" max="15" width="15.5" style="134" bestFit="1" customWidth="1"/>
    <col min="16" max="16" width="17.625" style="134" bestFit="1" customWidth="1"/>
    <col min="17" max="17" width="9" style="134"/>
    <col min="18" max="18" width="7.75" style="134" bestFit="1" customWidth="1"/>
    <col min="19" max="19" width="19.875" style="134" bestFit="1" customWidth="1"/>
    <col min="20" max="20" width="7.375" style="134" bestFit="1" customWidth="1"/>
    <col min="21" max="16384" width="9" style="134"/>
  </cols>
  <sheetData>
    <row r="1" spans="1:20">
      <c r="A1" s="135" t="s">
        <v>126</v>
      </c>
      <c r="B1" s="135" t="s">
        <v>127</v>
      </c>
      <c r="C1" s="151" t="s">
        <v>181</v>
      </c>
      <c r="D1" s="151" t="s">
        <v>568</v>
      </c>
      <c r="E1" s="151" t="s">
        <v>569</v>
      </c>
      <c r="F1" s="152" t="s">
        <v>570</v>
      </c>
      <c r="G1" s="152" t="s">
        <v>157</v>
      </c>
      <c r="H1" s="152" t="s">
        <v>158</v>
      </c>
      <c r="I1" s="152" t="s">
        <v>159</v>
      </c>
      <c r="J1" s="152" t="s">
        <v>160</v>
      </c>
      <c r="K1" s="152" t="s">
        <v>161</v>
      </c>
      <c r="L1" s="152" t="s">
        <v>162</v>
      </c>
      <c r="M1" s="152" t="s">
        <v>163</v>
      </c>
      <c r="N1" s="152" t="s">
        <v>164</v>
      </c>
      <c r="O1" s="152" t="s">
        <v>165</v>
      </c>
      <c r="P1" s="152" t="s">
        <v>166</v>
      </c>
      <c r="Q1" s="152" t="s">
        <v>167</v>
      </c>
      <c r="R1" s="152" t="s">
        <v>168</v>
      </c>
      <c r="S1" s="152" t="s">
        <v>189</v>
      </c>
      <c r="T1" s="152" t="s">
        <v>169</v>
      </c>
    </row>
    <row r="2" spans="1:20" ht="67.5">
      <c r="A2" s="161" t="s">
        <v>768</v>
      </c>
      <c r="B2" s="137" t="s">
        <v>754</v>
      </c>
      <c r="C2" s="160" t="s">
        <v>605</v>
      </c>
      <c r="D2" s="137" t="s">
        <v>566</v>
      </c>
      <c r="E2" s="137" t="s">
        <v>564</v>
      </c>
      <c r="F2" s="137">
        <v>4</v>
      </c>
      <c r="G2" s="137" t="s">
        <v>520</v>
      </c>
      <c r="H2" s="137" t="s">
        <v>518</v>
      </c>
      <c r="I2" s="137" t="s">
        <v>571</v>
      </c>
      <c r="J2" s="137" t="s">
        <v>521</v>
      </c>
      <c r="K2" s="137" t="s">
        <v>529</v>
      </c>
      <c r="L2" s="137" t="s">
        <v>523</v>
      </c>
      <c r="M2" s="137" t="s">
        <v>97</v>
      </c>
      <c r="N2" s="137" t="s">
        <v>572</v>
      </c>
      <c r="O2" s="137" t="s">
        <v>99</v>
      </c>
      <c r="P2" s="137" t="s">
        <v>100</v>
      </c>
      <c r="Q2" s="137" t="s">
        <v>101</v>
      </c>
      <c r="R2" s="137" t="s">
        <v>102</v>
      </c>
      <c r="S2" s="137" t="s">
        <v>573</v>
      </c>
      <c r="T2" s="137">
        <v>0</v>
      </c>
    </row>
    <row r="3" spans="1:20" ht="67.5">
      <c r="A3" s="161" t="s">
        <v>769</v>
      </c>
      <c r="B3" s="137" t="s">
        <v>754</v>
      </c>
      <c r="C3" s="137">
        <v>1</v>
      </c>
      <c r="D3" s="137" t="s">
        <v>566</v>
      </c>
      <c r="E3" s="160" t="s">
        <v>574</v>
      </c>
      <c r="F3" s="137">
        <v>4</v>
      </c>
      <c r="G3" s="137" t="s">
        <v>520</v>
      </c>
      <c r="H3" s="137" t="s">
        <v>518</v>
      </c>
      <c r="I3" s="137" t="s">
        <v>571</v>
      </c>
      <c r="J3" s="137" t="s">
        <v>521</v>
      </c>
      <c r="K3" s="137" t="s">
        <v>529</v>
      </c>
      <c r="L3" s="137" t="s">
        <v>523</v>
      </c>
      <c r="M3" s="137" t="s">
        <v>97</v>
      </c>
      <c r="N3" s="137" t="s">
        <v>572</v>
      </c>
      <c r="O3" s="137" t="s">
        <v>99</v>
      </c>
      <c r="P3" s="137" t="s">
        <v>100</v>
      </c>
      <c r="Q3" s="137" t="s">
        <v>101</v>
      </c>
      <c r="R3" s="137" t="s">
        <v>102</v>
      </c>
      <c r="S3" s="137" t="s">
        <v>573</v>
      </c>
      <c r="T3" s="137">
        <v>0</v>
      </c>
    </row>
    <row r="4" spans="1:20" ht="81">
      <c r="A4" s="161" t="s">
        <v>770</v>
      </c>
      <c r="B4" s="137" t="s">
        <v>754</v>
      </c>
      <c r="C4" s="137" t="s">
        <v>838</v>
      </c>
      <c r="D4" s="160" t="s">
        <v>516</v>
      </c>
      <c r="E4" s="137" t="s">
        <v>564</v>
      </c>
      <c r="F4" s="137">
        <v>4</v>
      </c>
      <c r="G4" s="137" t="s">
        <v>520</v>
      </c>
      <c r="H4" s="137" t="s">
        <v>518</v>
      </c>
      <c r="I4" s="137" t="s">
        <v>571</v>
      </c>
      <c r="J4" s="137" t="s">
        <v>521</v>
      </c>
      <c r="K4" s="137" t="s">
        <v>529</v>
      </c>
      <c r="L4" s="137" t="s">
        <v>523</v>
      </c>
      <c r="M4" s="137" t="s">
        <v>97</v>
      </c>
      <c r="N4" s="137" t="s">
        <v>572</v>
      </c>
      <c r="O4" s="137" t="s">
        <v>99</v>
      </c>
      <c r="P4" s="137" t="s">
        <v>100</v>
      </c>
      <c r="Q4" s="137" t="s">
        <v>101</v>
      </c>
      <c r="R4" s="137" t="s">
        <v>102</v>
      </c>
      <c r="S4" s="137" t="s">
        <v>573</v>
      </c>
      <c r="T4" s="137">
        <v>0</v>
      </c>
    </row>
    <row r="5" spans="1:20" ht="67.5">
      <c r="A5" s="161" t="s">
        <v>764</v>
      </c>
      <c r="B5" s="137" t="s">
        <v>754</v>
      </c>
      <c r="C5" s="137" t="s">
        <v>838</v>
      </c>
      <c r="D5" s="137" t="s">
        <v>565</v>
      </c>
      <c r="E5" s="137" t="s">
        <v>564</v>
      </c>
      <c r="F5" s="137">
        <v>4</v>
      </c>
      <c r="G5" s="137" t="s">
        <v>520</v>
      </c>
      <c r="H5" s="137" t="s">
        <v>518</v>
      </c>
      <c r="I5" s="137" t="s">
        <v>571</v>
      </c>
      <c r="J5" s="137" t="s">
        <v>521</v>
      </c>
      <c r="K5" s="137" t="s">
        <v>529</v>
      </c>
      <c r="L5" s="137" t="s">
        <v>523</v>
      </c>
      <c r="M5" s="137" t="s">
        <v>97</v>
      </c>
      <c r="N5" s="137" t="s">
        <v>572</v>
      </c>
      <c r="O5" s="137" t="s">
        <v>99</v>
      </c>
      <c r="P5" s="137" t="s">
        <v>100</v>
      </c>
      <c r="Q5" s="137" t="s">
        <v>101</v>
      </c>
      <c r="R5" s="137" t="s">
        <v>102</v>
      </c>
      <c r="S5" s="137" t="s">
        <v>573</v>
      </c>
      <c r="T5" s="137">
        <v>0</v>
      </c>
    </row>
    <row r="6" spans="1:20" ht="135">
      <c r="A6" s="162" t="s">
        <v>834</v>
      </c>
      <c r="B6" s="137" t="s">
        <v>754</v>
      </c>
      <c r="C6" s="137" t="s">
        <v>839</v>
      </c>
      <c r="D6" s="137" t="s">
        <v>565</v>
      </c>
      <c r="E6" s="137" t="s">
        <v>563</v>
      </c>
      <c r="F6" s="137">
        <v>4</v>
      </c>
      <c r="G6" s="137" t="s">
        <v>520</v>
      </c>
      <c r="H6" s="137" t="s">
        <v>518</v>
      </c>
      <c r="I6" s="137" t="s">
        <v>571</v>
      </c>
      <c r="J6" s="137" t="s">
        <v>521</v>
      </c>
      <c r="K6" s="137" t="s">
        <v>529</v>
      </c>
      <c r="L6" s="137" t="s">
        <v>523</v>
      </c>
      <c r="M6" s="137" t="s">
        <v>97</v>
      </c>
      <c r="N6" s="137" t="s">
        <v>572</v>
      </c>
      <c r="O6" s="137" t="s">
        <v>99</v>
      </c>
      <c r="P6" s="137" t="s">
        <v>100</v>
      </c>
      <c r="Q6" s="137" t="s">
        <v>101</v>
      </c>
      <c r="R6" s="137" t="s">
        <v>102</v>
      </c>
      <c r="S6" s="137" t="s">
        <v>573</v>
      </c>
      <c r="T6" s="137">
        <v>0</v>
      </c>
    </row>
    <row r="7" spans="1:20" ht="94.5">
      <c r="A7" s="162" t="s">
        <v>765</v>
      </c>
      <c r="B7" s="137" t="s">
        <v>754</v>
      </c>
      <c r="C7" s="137" t="s">
        <v>840</v>
      </c>
      <c r="D7" s="137" t="s">
        <v>565</v>
      </c>
      <c r="E7" s="137" t="s">
        <v>842</v>
      </c>
      <c r="F7" s="137">
        <v>4</v>
      </c>
      <c r="G7" s="137" t="s">
        <v>520</v>
      </c>
      <c r="H7" s="137" t="s">
        <v>518</v>
      </c>
      <c r="I7" s="137" t="s">
        <v>571</v>
      </c>
      <c r="J7" s="137" t="s">
        <v>521</v>
      </c>
      <c r="K7" s="137" t="s">
        <v>529</v>
      </c>
      <c r="L7" s="137" t="s">
        <v>523</v>
      </c>
      <c r="M7" s="137" t="s">
        <v>97</v>
      </c>
      <c r="N7" s="137" t="s">
        <v>572</v>
      </c>
      <c r="O7" s="137" t="s">
        <v>99</v>
      </c>
      <c r="P7" s="137" t="s">
        <v>100</v>
      </c>
      <c r="Q7" s="137" t="s">
        <v>101</v>
      </c>
      <c r="R7" s="137" t="s">
        <v>102</v>
      </c>
      <c r="S7" s="137" t="s">
        <v>573</v>
      </c>
      <c r="T7" s="137">
        <v>0</v>
      </c>
    </row>
    <row r="8" spans="1:20" ht="94.5">
      <c r="A8" s="161" t="s">
        <v>766</v>
      </c>
      <c r="B8" s="137" t="s">
        <v>754</v>
      </c>
      <c r="C8" s="137" t="s">
        <v>596</v>
      </c>
      <c r="D8" s="137" t="s">
        <v>565</v>
      </c>
      <c r="E8" s="137" t="s">
        <v>843</v>
      </c>
      <c r="F8" s="137">
        <v>4</v>
      </c>
      <c r="G8" s="137" t="s">
        <v>520</v>
      </c>
      <c r="H8" s="137" t="s">
        <v>518</v>
      </c>
      <c r="I8" s="137" t="s">
        <v>571</v>
      </c>
      <c r="J8" s="137" t="s">
        <v>521</v>
      </c>
      <c r="K8" s="137" t="s">
        <v>529</v>
      </c>
      <c r="L8" s="137" t="s">
        <v>523</v>
      </c>
      <c r="M8" s="137" t="s">
        <v>97</v>
      </c>
      <c r="N8" s="137" t="s">
        <v>572</v>
      </c>
      <c r="O8" s="137" t="s">
        <v>99</v>
      </c>
      <c r="P8" s="137" t="s">
        <v>100</v>
      </c>
      <c r="Q8" s="137" t="s">
        <v>101</v>
      </c>
      <c r="R8" s="137" t="s">
        <v>102</v>
      </c>
      <c r="S8" s="137" t="s">
        <v>573</v>
      </c>
      <c r="T8" s="137">
        <v>0</v>
      </c>
    </row>
    <row r="9" spans="1:20" ht="94.5">
      <c r="A9" s="161" t="s">
        <v>755</v>
      </c>
      <c r="B9" s="137" t="s">
        <v>754</v>
      </c>
      <c r="C9" s="137" t="s">
        <v>597</v>
      </c>
      <c r="D9" s="137" t="s">
        <v>565</v>
      </c>
      <c r="E9" s="137" t="s">
        <v>563</v>
      </c>
      <c r="F9" s="137">
        <v>4</v>
      </c>
      <c r="G9" s="137" t="s">
        <v>520</v>
      </c>
      <c r="H9" s="137" t="s">
        <v>518</v>
      </c>
      <c r="I9" s="137" t="s">
        <v>571</v>
      </c>
      <c r="J9" s="137" t="s">
        <v>521</v>
      </c>
      <c r="K9" s="137" t="s">
        <v>529</v>
      </c>
      <c r="L9" s="137" t="s">
        <v>523</v>
      </c>
      <c r="M9" s="137" t="s">
        <v>97</v>
      </c>
      <c r="N9" s="137" t="s">
        <v>572</v>
      </c>
      <c r="O9" s="137" t="s">
        <v>99</v>
      </c>
      <c r="P9" s="137" t="s">
        <v>100</v>
      </c>
      <c r="Q9" s="137" t="s">
        <v>101</v>
      </c>
      <c r="R9" s="137" t="s">
        <v>102</v>
      </c>
      <c r="S9" s="137" t="s">
        <v>573</v>
      </c>
      <c r="T9" s="137">
        <v>0</v>
      </c>
    </row>
    <row r="10" spans="1:20" ht="27">
      <c r="A10" s="162" t="s">
        <v>752</v>
      </c>
      <c r="B10" s="137" t="s">
        <v>754</v>
      </c>
      <c r="C10" s="137" t="s">
        <v>841</v>
      </c>
      <c r="D10" s="137" t="s">
        <v>565</v>
      </c>
      <c r="E10" s="137" t="s">
        <v>563</v>
      </c>
      <c r="F10" s="137">
        <v>4</v>
      </c>
      <c r="G10" s="137" t="s">
        <v>520</v>
      </c>
      <c r="H10" s="137" t="s">
        <v>518</v>
      </c>
      <c r="I10" s="137" t="s">
        <v>571</v>
      </c>
      <c r="J10" s="137" t="s">
        <v>521</v>
      </c>
      <c r="K10" s="137" t="s">
        <v>529</v>
      </c>
      <c r="L10" s="137" t="s">
        <v>523</v>
      </c>
      <c r="M10" s="137" t="s">
        <v>97</v>
      </c>
      <c r="N10" s="137" t="s">
        <v>572</v>
      </c>
      <c r="O10" s="137" t="s">
        <v>99</v>
      </c>
      <c r="P10" s="137" t="s">
        <v>100</v>
      </c>
      <c r="Q10" s="137" t="s">
        <v>101</v>
      </c>
      <c r="R10" s="137" t="s">
        <v>102</v>
      </c>
      <c r="S10" s="137" t="s">
        <v>573</v>
      </c>
      <c r="T10" s="137">
        <v>0</v>
      </c>
    </row>
    <row r="11" spans="1:20" ht="67.5">
      <c r="A11" s="161" t="s">
        <v>767</v>
      </c>
      <c r="B11" s="137" t="s">
        <v>754</v>
      </c>
      <c r="C11" s="137" t="s">
        <v>94</v>
      </c>
      <c r="D11" s="137" t="s">
        <v>565</v>
      </c>
      <c r="E11" s="137" t="s">
        <v>563</v>
      </c>
      <c r="F11" s="137">
        <v>4</v>
      </c>
      <c r="G11" s="137" t="s">
        <v>520</v>
      </c>
      <c r="H11" s="137" t="s">
        <v>518</v>
      </c>
      <c r="I11" s="137" t="s">
        <v>571</v>
      </c>
      <c r="J11" s="137" t="s">
        <v>521</v>
      </c>
      <c r="K11" s="137" t="s">
        <v>529</v>
      </c>
      <c r="L11" s="137" t="s">
        <v>523</v>
      </c>
      <c r="M11" s="137" t="s">
        <v>97</v>
      </c>
      <c r="N11" s="137" t="s">
        <v>572</v>
      </c>
      <c r="O11" s="137" t="s">
        <v>99</v>
      </c>
      <c r="P11" s="137" t="s">
        <v>100</v>
      </c>
      <c r="Q11" s="137" t="s">
        <v>101</v>
      </c>
      <c r="R11" s="137" t="s">
        <v>102</v>
      </c>
      <c r="S11" s="137" t="s">
        <v>573</v>
      </c>
      <c r="T11" s="137">
        <v>0</v>
      </c>
    </row>
    <row r="12" spans="1:20" ht="40.5">
      <c r="A12" s="161" t="s">
        <v>835</v>
      </c>
      <c r="B12" s="137" t="s">
        <v>754</v>
      </c>
      <c r="C12" s="137" t="s">
        <v>95</v>
      </c>
      <c r="D12" s="137" t="s">
        <v>565</v>
      </c>
      <c r="E12" s="137" t="s">
        <v>563</v>
      </c>
      <c r="F12" s="137">
        <v>4</v>
      </c>
      <c r="G12" s="137" t="s">
        <v>520</v>
      </c>
      <c r="H12" s="137" t="s">
        <v>518</v>
      </c>
      <c r="I12" s="137" t="s">
        <v>571</v>
      </c>
      <c r="J12" s="137" t="s">
        <v>521</v>
      </c>
      <c r="K12" s="137" t="s">
        <v>529</v>
      </c>
      <c r="L12" s="137" t="s">
        <v>523</v>
      </c>
      <c r="M12" s="137" t="s">
        <v>97</v>
      </c>
      <c r="N12" s="137" t="s">
        <v>572</v>
      </c>
      <c r="O12" s="137" t="s">
        <v>99</v>
      </c>
      <c r="P12" s="137" t="s">
        <v>100</v>
      </c>
      <c r="Q12" s="137" t="s">
        <v>101</v>
      </c>
      <c r="R12" s="137" t="s">
        <v>102</v>
      </c>
      <c r="S12" s="137" t="s">
        <v>573</v>
      </c>
      <c r="T12" s="137">
        <v>0</v>
      </c>
    </row>
    <row r="13" spans="1:20" ht="40.5">
      <c r="A13" s="161" t="s">
        <v>844</v>
      </c>
      <c r="B13" s="137" t="s">
        <v>754</v>
      </c>
      <c r="C13" s="137" t="s">
        <v>96</v>
      </c>
      <c r="D13" s="137" t="s">
        <v>565</v>
      </c>
      <c r="E13" s="137" t="s">
        <v>563</v>
      </c>
      <c r="F13" s="137">
        <v>4</v>
      </c>
      <c r="G13" s="160" t="s">
        <v>845</v>
      </c>
      <c r="H13" s="137" t="s">
        <v>518</v>
      </c>
      <c r="I13" s="137" t="s">
        <v>571</v>
      </c>
      <c r="J13" s="137" t="s">
        <v>521</v>
      </c>
      <c r="K13" s="137" t="s">
        <v>529</v>
      </c>
      <c r="L13" s="137" t="s">
        <v>523</v>
      </c>
      <c r="M13" s="137" t="s">
        <v>97</v>
      </c>
      <c r="N13" s="137" t="s">
        <v>572</v>
      </c>
      <c r="O13" s="137" t="s">
        <v>99</v>
      </c>
      <c r="P13" s="137" t="s">
        <v>100</v>
      </c>
      <c r="Q13" s="137" t="s">
        <v>101</v>
      </c>
      <c r="R13" s="137" t="s">
        <v>102</v>
      </c>
      <c r="S13" s="137" t="s">
        <v>573</v>
      </c>
      <c r="T13" s="137">
        <v>0</v>
      </c>
    </row>
  </sheetData>
  <phoneticPr fontId="27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AI11"/>
  <sheetViews>
    <sheetView workbookViewId="0">
      <pane ySplit="1" topLeftCell="A8" activePane="bottomLeft" state="frozen"/>
      <selection pane="bottomLeft" activeCell="A10" sqref="A10"/>
    </sheetView>
  </sheetViews>
  <sheetFormatPr defaultRowHeight="13.5"/>
  <cols>
    <col min="1" max="1" width="53.25" style="134" customWidth="1"/>
    <col min="2" max="2" width="10.875" style="134" bestFit="1" customWidth="1"/>
    <col min="3" max="3" width="11.875" style="134" bestFit="1" customWidth="1"/>
    <col min="4" max="4" width="20.375" style="134" bestFit="1" customWidth="1"/>
    <col min="5" max="5" width="11.5" style="134" bestFit="1" customWidth="1"/>
    <col min="6" max="6" width="22.375" style="134" bestFit="1" customWidth="1"/>
    <col min="7" max="8" width="11.625" style="134" bestFit="1" customWidth="1"/>
    <col min="9" max="9" width="12.25" style="134" bestFit="1" customWidth="1"/>
    <col min="10" max="10" width="16.25" style="134" bestFit="1" customWidth="1"/>
    <col min="11" max="11" width="12.75" style="134" bestFit="1" customWidth="1"/>
    <col min="12" max="12" width="27.625" style="134" bestFit="1" customWidth="1"/>
    <col min="13" max="13" width="28.375" style="134" bestFit="1" customWidth="1"/>
    <col min="14" max="14" width="16.75" style="134" bestFit="1" customWidth="1"/>
    <col min="15" max="15" width="24.875" style="134" bestFit="1" customWidth="1"/>
    <col min="16" max="16" width="25.375" style="134" bestFit="1" customWidth="1"/>
    <col min="17" max="17" width="14.875" style="134" bestFit="1" customWidth="1"/>
    <col min="18" max="18" width="8.75" style="134" bestFit="1" customWidth="1"/>
    <col min="19" max="19" width="16.75" style="134" bestFit="1" customWidth="1"/>
    <col min="20" max="20" width="13.5" style="134" bestFit="1" customWidth="1"/>
    <col min="21" max="21" width="21.375" style="134" bestFit="1" customWidth="1"/>
    <col min="22" max="22" width="6.25" style="134" bestFit="1" customWidth="1"/>
    <col min="23" max="23" width="11.625" style="134" bestFit="1" customWidth="1"/>
    <col min="24" max="24" width="19.875" style="134" bestFit="1" customWidth="1"/>
    <col min="25" max="25" width="16.625" style="134" bestFit="1" customWidth="1"/>
    <col min="26" max="26" width="18.75" style="134" bestFit="1" customWidth="1"/>
    <col min="27" max="27" width="10" style="134" bestFit="1" customWidth="1"/>
    <col min="28" max="28" width="10.5" style="134" bestFit="1" customWidth="1"/>
    <col min="29" max="29" width="19.875" style="134" bestFit="1" customWidth="1"/>
    <col min="30" max="30" width="15.5" style="134" bestFit="1" customWidth="1"/>
    <col min="31" max="31" width="17.625" style="134" bestFit="1" customWidth="1"/>
    <col min="32" max="32" width="9" style="134"/>
    <col min="33" max="33" width="7.75" style="134" bestFit="1" customWidth="1"/>
    <col min="34" max="34" width="19.875" style="134" bestFit="1" customWidth="1"/>
    <col min="35" max="35" width="7.375" style="134" bestFit="1" customWidth="1"/>
    <col min="36" max="16384" width="9" style="134"/>
  </cols>
  <sheetData>
    <row r="1" spans="1:35">
      <c r="A1" s="135" t="s">
        <v>126</v>
      </c>
      <c r="B1" s="135" t="s">
        <v>127</v>
      </c>
      <c r="C1" s="151" t="s">
        <v>575</v>
      </c>
      <c r="D1" s="151" t="s">
        <v>568</v>
      </c>
      <c r="E1" s="151" t="s">
        <v>570</v>
      </c>
      <c r="F1" s="151" t="s">
        <v>576</v>
      </c>
      <c r="G1" s="151" t="s">
        <v>534</v>
      </c>
      <c r="H1" s="152" t="s">
        <v>535</v>
      </c>
      <c r="I1" s="152" t="s">
        <v>577</v>
      </c>
      <c r="J1" s="152" t="s">
        <v>578</v>
      </c>
      <c r="K1" s="152" t="s">
        <v>579</v>
      </c>
      <c r="L1" s="152" t="s">
        <v>580</v>
      </c>
      <c r="M1" s="152" t="s">
        <v>581</v>
      </c>
      <c r="N1" s="152" t="s">
        <v>582</v>
      </c>
      <c r="O1" s="152" t="s">
        <v>583</v>
      </c>
      <c r="P1" s="152" t="s">
        <v>584</v>
      </c>
      <c r="Q1" s="152" t="s">
        <v>585</v>
      </c>
      <c r="R1" s="152" t="s">
        <v>586</v>
      </c>
      <c r="S1" s="152" t="s">
        <v>587</v>
      </c>
      <c r="T1" s="152" t="s">
        <v>588</v>
      </c>
      <c r="U1" s="152" t="s">
        <v>589</v>
      </c>
      <c r="V1" s="152" t="s">
        <v>157</v>
      </c>
      <c r="W1" s="152" t="s">
        <v>158</v>
      </c>
      <c r="X1" s="152" t="s">
        <v>159</v>
      </c>
      <c r="Y1" s="152" t="s">
        <v>160</v>
      </c>
      <c r="Z1" s="152" t="s">
        <v>161</v>
      </c>
      <c r="AA1" s="152" t="s">
        <v>162</v>
      </c>
      <c r="AB1" s="152" t="s">
        <v>163</v>
      </c>
      <c r="AC1" s="152" t="s">
        <v>164</v>
      </c>
      <c r="AD1" s="152" t="s">
        <v>165</v>
      </c>
      <c r="AE1" s="152" t="s">
        <v>166</v>
      </c>
      <c r="AF1" s="152" t="s">
        <v>167</v>
      </c>
      <c r="AG1" s="152" t="s">
        <v>168</v>
      </c>
      <c r="AH1" s="152" t="s">
        <v>189</v>
      </c>
      <c r="AI1" s="152" t="s">
        <v>169</v>
      </c>
    </row>
    <row r="2" spans="1:35" ht="67.5">
      <c r="A2" s="161" t="s">
        <v>771</v>
      </c>
      <c r="B2" s="137" t="s">
        <v>754</v>
      </c>
      <c r="C2" s="137" t="s">
        <v>599</v>
      </c>
      <c r="D2" s="160" t="s">
        <v>595</v>
      </c>
      <c r="E2" s="137" t="s">
        <v>838</v>
      </c>
      <c r="F2" s="137" t="s">
        <v>596</v>
      </c>
      <c r="G2" s="137" t="s">
        <v>564</v>
      </c>
      <c r="H2" s="137" t="s">
        <v>562</v>
      </c>
      <c r="I2" s="137" t="s">
        <v>528</v>
      </c>
      <c r="J2" s="137" t="s">
        <v>521</v>
      </c>
      <c r="K2" s="137" t="s">
        <v>529</v>
      </c>
      <c r="L2" s="137" t="s">
        <v>523</v>
      </c>
      <c r="M2" s="137" t="s">
        <v>97</v>
      </c>
      <c r="N2" s="137" t="s">
        <v>98</v>
      </c>
      <c r="O2" s="137" t="s">
        <v>590</v>
      </c>
      <c r="P2" s="137" t="s">
        <v>591</v>
      </c>
      <c r="Q2" s="137" t="s">
        <v>101</v>
      </c>
      <c r="R2" s="137" t="s">
        <v>1006</v>
      </c>
      <c r="S2" s="137" t="s">
        <v>103</v>
      </c>
      <c r="T2" s="137" t="s">
        <v>104</v>
      </c>
      <c r="U2" s="137">
        <v>18</v>
      </c>
      <c r="V2" s="137" t="s">
        <v>520</v>
      </c>
      <c r="W2" s="137" t="s">
        <v>107</v>
      </c>
      <c r="X2" s="137" t="s">
        <v>592</v>
      </c>
      <c r="Y2" s="137" t="s">
        <v>109</v>
      </c>
      <c r="Z2" s="137" t="s">
        <v>110</v>
      </c>
      <c r="AA2" s="137" t="s">
        <v>111</v>
      </c>
      <c r="AB2" s="137" t="s">
        <v>112</v>
      </c>
      <c r="AC2" s="137" t="s">
        <v>593</v>
      </c>
      <c r="AD2" s="137" t="s">
        <v>114</v>
      </c>
      <c r="AE2" s="137" t="s">
        <v>115</v>
      </c>
      <c r="AF2" s="137" t="s">
        <v>116</v>
      </c>
      <c r="AG2" s="137" t="s">
        <v>117</v>
      </c>
      <c r="AH2" s="137" t="s">
        <v>594</v>
      </c>
      <c r="AI2" s="137">
        <v>0</v>
      </c>
    </row>
    <row r="3" spans="1:35" ht="67.5">
      <c r="A3" s="161" t="s">
        <v>772</v>
      </c>
      <c r="B3" s="137" t="s">
        <v>754</v>
      </c>
      <c r="C3" s="137" t="s">
        <v>599</v>
      </c>
      <c r="D3" s="137" t="s">
        <v>565</v>
      </c>
      <c r="E3" s="137" t="s">
        <v>68</v>
      </c>
      <c r="F3" s="160" t="s">
        <v>597</v>
      </c>
      <c r="G3" s="137" t="s">
        <v>564</v>
      </c>
      <c r="H3" s="137" t="s">
        <v>562</v>
      </c>
      <c r="I3" s="137" t="s">
        <v>528</v>
      </c>
      <c r="J3" s="137" t="s">
        <v>521</v>
      </c>
      <c r="K3" s="137" t="s">
        <v>529</v>
      </c>
      <c r="L3" s="137" t="s">
        <v>523</v>
      </c>
      <c r="M3" s="137" t="s">
        <v>97</v>
      </c>
      <c r="N3" s="137" t="s">
        <v>98</v>
      </c>
      <c r="O3" s="137" t="s">
        <v>590</v>
      </c>
      <c r="P3" s="137" t="s">
        <v>591</v>
      </c>
      <c r="Q3" s="137" t="s">
        <v>101</v>
      </c>
      <c r="R3" s="137" t="s">
        <v>1006</v>
      </c>
      <c r="S3" s="137" t="s">
        <v>103</v>
      </c>
      <c r="T3" s="137" t="s">
        <v>104</v>
      </c>
      <c r="U3" s="137">
        <v>18</v>
      </c>
      <c r="V3" s="137" t="s">
        <v>520</v>
      </c>
      <c r="W3" s="137" t="s">
        <v>107</v>
      </c>
      <c r="X3" s="137" t="s">
        <v>592</v>
      </c>
      <c r="Y3" s="137" t="s">
        <v>109</v>
      </c>
      <c r="Z3" s="137" t="s">
        <v>110</v>
      </c>
      <c r="AA3" s="137" t="s">
        <v>111</v>
      </c>
      <c r="AB3" s="137" t="s">
        <v>112</v>
      </c>
      <c r="AC3" s="137" t="s">
        <v>593</v>
      </c>
      <c r="AD3" s="137" t="s">
        <v>114</v>
      </c>
      <c r="AE3" s="137" t="s">
        <v>115</v>
      </c>
      <c r="AF3" s="137" t="s">
        <v>116</v>
      </c>
      <c r="AG3" s="137" t="s">
        <v>117</v>
      </c>
      <c r="AH3" s="137" t="s">
        <v>594</v>
      </c>
      <c r="AI3" s="137">
        <v>0</v>
      </c>
    </row>
    <row r="4" spans="1:35" ht="135">
      <c r="A4" s="162" t="s">
        <v>847</v>
      </c>
      <c r="B4" s="137" t="s">
        <v>754</v>
      </c>
      <c r="C4" s="137" t="s">
        <v>598</v>
      </c>
      <c r="D4" s="137" t="s">
        <v>565</v>
      </c>
      <c r="E4" s="137" t="s">
        <v>69</v>
      </c>
      <c r="F4" s="137" t="s">
        <v>72</v>
      </c>
      <c r="G4" s="137" t="s">
        <v>563</v>
      </c>
      <c r="H4" s="160" t="s">
        <v>560</v>
      </c>
      <c r="I4" s="137" t="s">
        <v>528</v>
      </c>
      <c r="J4" s="137" t="s">
        <v>521</v>
      </c>
      <c r="K4" s="137" t="s">
        <v>529</v>
      </c>
      <c r="L4" s="137" t="s">
        <v>523</v>
      </c>
      <c r="M4" s="137" t="s">
        <v>97</v>
      </c>
      <c r="N4" s="137" t="s">
        <v>98</v>
      </c>
      <c r="O4" s="137" t="s">
        <v>590</v>
      </c>
      <c r="P4" s="137" t="s">
        <v>591</v>
      </c>
      <c r="Q4" s="137" t="s">
        <v>101</v>
      </c>
      <c r="R4" s="137" t="s">
        <v>70</v>
      </c>
      <c r="S4" s="137" t="s">
        <v>103</v>
      </c>
      <c r="T4" s="137" t="s">
        <v>104</v>
      </c>
      <c r="U4" s="137">
        <v>18</v>
      </c>
      <c r="V4" s="137" t="s">
        <v>520</v>
      </c>
      <c r="W4" s="137" t="s">
        <v>107</v>
      </c>
      <c r="X4" s="137" t="s">
        <v>592</v>
      </c>
      <c r="Y4" s="137" t="s">
        <v>109</v>
      </c>
      <c r="Z4" s="137" t="s">
        <v>1007</v>
      </c>
      <c r="AA4" s="137" t="s">
        <v>111</v>
      </c>
      <c r="AB4" s="137" t="s">
        <v>112</v>
      </c>
      <c r="AC4" s="137" t="s">
        <v>593</v>
      </c>
      <c r="AD4" s="137" t="s">
        <v>114</v>
      </c>
      <c r="AE4" s="137" t="s">
        <v>115</v>
      </c>
      <c r="AF4" s="137" t="s">
        <v>116</v>
      </c>
      <c r="AG4" s="137" t="s">
        <v>117</v>
      </c>
      <c r="AH4" s="137" t="s">
        <v>594</v>
      </c>
      <c r="AI4" s="137">
        <v>0</v>
      </c>
    </row>
    <row r="5" spans="1:35" ht="94.5">
      <c r="A5" s="162" t="s">
        <v>773</v>
      </c>
      <c r="B5" s="137" t="s">
        <v>754</v>
      </c>
      <c r="C5" s="137" t="s">
        <v>598</v>
      </c>
      <c r="D5" s="137" t="s">
        <v>565</v>
      </c>
      <c r="E5" s="137" t="s">
        <v>72</v>
      </c>
      <c r="F5" s="137" t="s">
        <v>72</v>
      </c>
      <c r="G5" s="160" t="s">
        <v>560</v>
      </c>
      <c r="H5" s="137" t="s">
        <v>562</v>
      </c>
      <c r="I5" s="137" t="s">
        <v>528</v>
      </c>
      <c r="J5" s="137" t="s">
        <v>521</v>
      </c>
      <c r="K5" s="137" t="s">
        <v>529</v>
      </c>
      <c r="L5" s="137" t="s">
        <v>523</v>
      </c>
      <c r="M5" s="137" t="s">
        <v>97</v>
      </c>
      <c r="N5" s="137" t="s">
        <v>98</v>
      </c>
      <c r="O5" s="137" t="s">
        <v>590</v>
      </c>
      <c r="P5" s="137" t="s">
        <v>591</v>
      </c>
      <c r="Q5" s="137" t="s">
        <v>101</v>
      </c>
      <c r="R5" s="137" t="s">
        <v>1008</v>
      </c>
      <c r="S5" s="137" t="s">
        <v>103</v>
      </c>
      <c r="T5" s="137" t="s">
        <v>104</v>
      </c>
      <c r="U5" s="137">
        <v>18</v>
      </c>
      <c r="V5" s="137" t="s">
        <v>520</v>
      </c>
      <c r="W5" s="137" t="s">
        <v>107</v>
      </c>
      <c r="X5" s="137" t="s">
        <v>592</v>
      </c>
      <c r="Y5" s="137" t="s">
        <v>109</v>
      </c>
      <c r="Z5" s="137" t="s">
        <v>110</v>
      </c>
      <c r="AA5" s="137" t="s">
        <v>111</v>
      </c>
      <c r="AB5" s="137" t="s">
        <v>112</v>
      </c>
      <c r="AC5" s="137" t="s">
        <v>593</v>
      </c>
      <c r="AD5" s="137" t="s">
        <v>114</v>
      </c>
      <c r="AE5" s="137" t="s">
        <v>115</v>
      </c>
      <c r="AF5" s="137" t="s">
        <v>116</v>
      </c>
      <c r="AG5" s="137" t="s">
        <v>117</v>
      </c>
      <c r="AH5" s="137" t="s">
        <v>594</v>
      </c>
      <c r="AI5" s="137">
        <v>0</v>
      </c>
    </row>
    <row r="6" spans="1:35" ht="94.5">
      <c r="A6" s="161" t="s">
        <v>774</v>
      </c>
      <c r="B6" s="137" t="s">
        <v>754</v>
      </c>
      <c r="C6" s="137" t="s">
        <v>598</v>
      </c>
      <c r="D6" s="137" t="s">
        <v>565</v>
      </c>
      <c r="E6" s="137" t="s">
        <v>73</v>
      </c>
      <c r="F6" s="137" t="s">
        <v>72</v>
      </c>
      <c r="G6" s="137" t="s">
        <v>563</v>
      </c>
      <c r="H6" s="160" t="s">
        <v>564</v>
      </c>
      <c r="I6" s="137" t="s">
        <v>528</v>
      </c>
      <c r="J6" s="137" t="s">
        <v>521</v>
      </c>
      <c r="K6" s="137" t="s">
        <v>529</v>
      </c>
      <c r="L6" s="137" t="s">
        <v>523</v>
      </c>
      <c r="M6" s="137" t="s">
        <v>97</v>
      </c>
      <c r="N6" s="137" t="s">
        <v>98</v>
      </c>
      <c r="O6" s="137" t="s">
        <v>590</v>
      </c>
      <c r="P6" s="137" t="s">
        <v>591</v>
      </c>
      <c r="Q6" s="137" t="s">
        <v>101</v>
      </c>
      <c r="R6" s="137" t="s">
        <v>70</v>
      </c>
      <c r="S6" s="137" t="s">
        <v>103</v>
      </c>
      <c r="T6" s="137" t="s">
        <v>104</v>
      </c>
      <c r="U6" s="137">
        <v>18</v>
      </c>
      <c r="V6" s="137" t="s">
        <v>520</v>
      </c>
      <c r="W6" s="137" t="s">
        <v>107</v>
      </c>
      <c r="X6" s="137" t="s">
        <v>592</v>
      </c>
      <c r="Y6" s="137" t="s">
        <v>109</v>
      </c>
      <c r="Z6" s="137" t="s">
        <v>110</v>
      </c>
      <c r="AA6" s="137" t="s">
        <v>111</v>
      </c>
      <c r="AB6" s="137" t="s">
        <v>112</v>
      </c>
      <c r="AC6" s="137" t="s">
        <v>593</v>
      </c>
      <c r="AD6" s="137" t="s">
        <v>114</v>
      </c>
      <c r="AE6" s="137" t="s">
        <v>115</v>
      </c>
      <c r="AF6" s="137" t="s">
        <v>116</v>
      </c>
      <c r="AG6" s="137" t="s">
        <v>117</v>
      </c>
      <c r="AH6" s="137" t="s">
        <v>594</v>
      </c>
      <c r="AI6" s="137">
        <v>0</v>
      </c>
    </row>
    <row r="7" spans="1:35" ht="94.5">
      <c r="A7" s="161" t="s">
        <v>775</v>
      </c>
      <c r="B7" s="137" t="s">
        <v>754</v>
      </c>
      <c r="C7" s="137" t="s">
        <v>598</v>
      </c>
      <c r="D7" s="137" t="s">
        <v>565</v>
      </c>
      <c r="E7" s="137" t="s">
        <v>74</v>
      </c>
      <c r="F7" s="137" t="s">
        <v>72</v>
      </c>
      <c r="G7" s="160" t="s">
        <v>736</v>
      </c>
      <c r="H7" s="137" t="s">
        <v>561</v>
      </c>
      <c r="I7" s="137" t="s">
        <v>528</v>
      </c>
      <c r="J7" s="137" t="s">
        <v>521</v>
      </c>
      <c r="K7" s="137" t="s">
        <v>529</v>
      </c>
      <c r="L7" s="137" t="s">
        <v>523</v>
      </c>
      <c r="M7" s="137" t="s">
        <v>97</v>
      </c>
      <c r="N7" s="137" t="s">
        <v>98</v>
      </c>
      <c r="O7" s="137" t="s">
        <v>590</v>
      </c>
      <c r="P7" s="137" t="s">
        <v>591</v>
      </c>
      <c r="Q7" s="137" t="s">
        <v>101</v>
      </c>
      <c r="R7" s="137" t="s">
        <v>70</v>
      </c>
      <c r="S7" s="137" t="s">
        <v>103</v>
      </c>
      <c r="T7" s="137" t="s">
        <v>104</v>
      </c>
      <c r="U7" s="137">
        <v>18</v>
      </c>
      <c r="V7" s="137" t="s">
        <v>520</v>
      </c>
      <c r="W7" s="137" t="s">
        <v>107</v>
      </c>
      <c r="X7" s="137" t="s">
        <v>592</v>
      </c>
      <c r="Y7" s="137" t="s">
        <v>109</v>
      </c>
      <c r="Z7" s="137" t="s">
        <v>110</v>
      </c>
      <c r="AA7" s="137" t="s">
        <v>111</v>
      </c>
      <c r="AB7" s="137" t="s">
        <v>112</v>
      </c>
      <c r="AC7" s="137" t="s">
        <v>593</v>
      </c>
      <c r="AD7" s="137" t="s">
        <v>114</v>
      </c>
      <c r="AE7" s="137" t="s">
        <v>115</v>
      </c>
      <c r="AF7" s="137" t="s">
        <v>116</v>
      </c>
      <c r="AG7" s="137" t="s">
        <v>117</v>
      </c>
      <c r="AH7" s="137" t="s">
        <v>594</v>
      </c>
      <c r="AI7" s="137">
        <v>0</v>
      </c>
    </row>
    <row r="8" spans="1:35" ht="27">
      <c r="A8" s="162" t="s">
        <v>756</v>
      </c>
      <c r="B8" s="137" t="s">
        <v>754</v>
      </c>
      <c r="C8" s="137" t="s">
        <v>598</v>
      </c>
      <c r="D8" s="137" t="s">
        <v>565</v>
      </c>
      <c r="E8" s="137" t="s">
        <v>94</v>
      </c>
      <c r="F8" s="137" t="s">
        <v>72</v>
      </c>
      <c r="G8" s="160" t="s">
        <v>753</v>
      </c>
      <c r="H8" s="160" t="s">
        <v>560</v>
      </c>
      <c r="I8" s="137" t="s">
        <v>528</v>
      </c>
      <c r="J8" s="137" t="s">
        <v>521</v>
      </c>
      <c r="K8" s="137" t="s">
        <v>529</v>
      </c>
      <c r="L8" s="137" t="s">
        <v>523</v>
      </c>
      <c r="M8" s="137" t="s">
        <v>97</v>
      </c>
      <c r="N8" s="137" t="s">
        <v>98</v>
      </c>
      <c r="O8" s="137" t="s">
        <v>590</v>
      </c>
      <c r="P8" s="137" t="s">
        <v>591</v>
      </c>
      <c r="Q8" s="137" t="s">
        <v>101</v>
      </c>
      <c r="R8" s="137" t="s">
        <v>1009</v>
      </c>
      <c r="S8" s="137" t="s">
        <v>103</v>
      </c>
      <c r="T8" s="137" t="s">
        <v>104</v>
      </c>
      <c r="U8" s="137">
        <v>18</v>
      </c>
      <c r="V8" s="137" t="s">
        <v>520</v>
      </c>
      <c r="W8" s="137" t="s">
        <v>107</v>
      </c>
      <c r="X8" s="137" t="s">
        <v>592</v>
      </c>
      <c r="Y8" s="137" t="s">
        <v>109</v>
      </c>
      <c r="Z8" s="137" t="s">
        <v>110</v>
      </c>
      <c r="AA8" s="137" t="s">
        <v>111</v>
      </c>
      <c r="AB8" s="137" t="s">
        <v>112</v>
      </c>
      <c r="AC8" s="137" t="s">
        <v>593</v>
      </c>
      <c r="AD8" s="137" t="s">
        <v>114</v>
      </c>
      <c r="AE8" s="137" t="s">
        <v>115</v>
      </c>
      <c r="AF8" s="137" t="s">
        <v>116</v>
      </c>
      <c r="AG8" s="137" t="s">
        <v>117</v>
      </c>
      <c r="AH8" s="137" t="s">
        <v>594</v>
      </c>
      <c r="AI8" s="137">
        <v>0</v>
      </c>
    </row>
    <row r="9" spans="1:35" ht="67.5">
      <c r="A9" s="161" t="s">
        <v>776</v>
      </c>
      <c r="B9" s="137" t="s">
        <v>754</v>
      </c>
      <c r="C9" s="160" t="s">
        <v>600</v>
      </c>
      <c r="D9" s="137" t="s">
        <v>565</v>
      </c>
      <c r="E9" s="137" t="s">
        <v>95</v>
      </c>
      <c r="F9" s="137" t="s">
        <v>72</v>
      </c>
      <c r="G9" s="137" t="s">
        <v>563</v>
      </c>
      <c r="H9" s="137" t="s">
        <v>561</v>
      </c>
      <c r="I9" s="137" t="s">
        <v>528</v>
      </c>
      <c r="J9" s="137" t="s">
        <v>521</v>
      </c>
      <c r="K9" s="137" t="s">
        <v>529</v>
      </c>
      <c r="L9" s="137" t="s">
        <v>523</v>
      </c>
      <c r="M9" s="137" t="s">
        <v>97</v>
      </c>
      <c r="N9" s="137" t="s">
        <v>98</v>
      </c>
      <c r="O9" s="137" t="s">
        <v>590</v>
      </c>
      <c r="P9" s="137" t="s">
        <v>591</v>
      </c>
      <c r="Q9" s="137" t="s">
        <v>101</v>
      </c>
      <c r="R9" s="137" t="s">
        <v>1006</v>
      </c>
      <c r="S9" s="137" t="s">
        <v>103</v>
      </c>
      <c r="T9" s="137" t="s">
        <v>104</v>
      </c>
      <c r="U9" s="137">
        <v>18</v>
      </c>
      <c r="V9" s="137" t="s">
        <v>520</v>
      </c>
      <c r="W9" s="137" t="s">
        <v>107</v>
      </c>
      <c r="X9" s="137" t="s">
        <v>592</v>
      </c>
      <c r="Y9" s="137" t="s">
        <v>109</v>
      </c>
      <c r="Z9" s="137" t="s">
        <v>110</v>
      </c>
      <c r="AA9" s="137" t="s">
        <v>111</v>
      </c>
      <c r="AB9" s="137" t="s">
        <v>112</v>
      </c>
      <c r="AC9" s="137" t="s">
        <v>593</v>
      </c>
      <c r="AD9" s="137" t="s">
        <v>114</v>
      </c>
      <c r="AE9" s="137" t="s">
        <v>115</v>
      </c>
      <c r="AF9" s="137" t="s">
        <v>116</v>
      </c>
      <c r="AG9" s="137" t="s">
        <v>117</v>
      </c>
      <c r="AH9" s="137" t="s">
        <v>594</v>
      </c>
      <c r="AI9" s="137">
        <v>0</v>
      </c>
    </row>
    <row r="10" spans="1:35" ht="40.5">
      <c r="A10" s="161" t="s">
        <v>848</v>
      </c>
      <c r="B10" s="137" t="s">
        <v>754</v>
      </c>
      <c r="C10" s="137" t="s">
        <v>598</v>
      </c>
      <c r="D10" s="137" t="s">
        <v>565</v>
      </c>
      <c r="E10" s="137" t="s">
        <v>96</v>
      </c>
      <c r="F10" s="137" t="s">
        <v>72</v>
      </c>
      <c r="G10" s="137" t="s">
        <v>563</v>
      </c>
      <c r="H10" s="137" t="s">
        <v>561</v>
      </c>
      <c r="I10" s="137" t="s">
        <v>528</v>
      </c>
      <c r="J10" s="137" t="s">
        <v>521</v>
      </c>
      <c r="K10" s="137" t="s">
        <v>529</v>
      </c>
      <c r="L10" s="137" t="s">
        <v>523</v>
      </c>
      <c r="M10" s="137" t="s">
        <v>97</v>
      </c>
      <c r="N10" s="137" t="s">
        <v>98</v>
      </c>
      <c r="O10" s="137" t="s">
        <v>590</v>
      </c>
      <c r="P10" s="137" t="s">
        <v>591</v>
      </c>
      <c r="Q10" s="137" t="s">
        <v>101</v>
      </c>
      <c r="R10" s="137" t="s">
        <v>70</v>
      </c>
      <c r="S10" s="137" t="s">
        <v>103</v>
      </c>
      <c r="T10" s="137" t="s">
        <v>104</v>
      </c>
      <c r="U10" s="137">
        <v>18</v>
      </c>
      <c r="V10" s="160" t="s">
        <v>845</v>
      </c>
      <c r="W10" s="137" t="s">
        <v>107</v>
      </c>
      <c r="X10" s="137" t="s">
        <v>592</v>
      </c>
      <c r="Y10" s="137" t="s">
        <v>109</v>
      </c>
      <c r="Z10" s="137" t="s">
        <v>110</v>
      </c>
      <c r="AA10" s="137" t="s">
        <v>111</v>
      </c>
      <c r="AB10" s="137" t="s">
        <v>112</v>
      </c>
      <c r="AC10" s="137" t="s">
        <v>593</v>
      </c>
      <c r="AD10" s="137" t="s">
        <v>114</v>
      </c>
      <c r="AE10" s="137" t="s">
        <v>115</v>
      </c>
      <c r="AF10" s="137" t="s">
        <v>116</v>
      </c>
      <c r="AG10" s="137" t="s">
        <v>117</v>
      </c>
      <c r="AH10" s="137" t="s">
        <v>594</v>
      </c>
      <c r="AI10" s="137">
        <v>0</v>
      </c>
    </row>
    <row r="11" spans="1:35" ht="14.25">
      <c r="A11" s="156" t="s">
        <v>1012</v>
      </c>
      <c r="B11" s="137" t="s">
        <v>754</v>
      </c>
      <c r="C11" s="137" t="s">
        <v>598</v>
      </c>
      <c r="D11" s="137" t="s">
        <v>565</v>
      </c>
      <c r="E11" s="137" t="s">
        <v>1011</v>
      </c>
      <c r="F11" s="137" t="s">
        <v>72</v>
      </c>
      <c r="G11" s="137" t="s">
        <v>563</v>
      </c>
      <c r="H11" s="137" t="s">
        <v>561</v>
      </c>
      <c r="I11" s="137" t="s">
        <v>528</v>
      </c>
      <c r="J11" s="137" t="s">
        <v>521</v>
      </c>
      <c r="K11" s="137" t="s">
        <v>529</v>
      </c>
      <c r="L11" s="137" t="s">
        <v>523</v>
      </c>
      <c r="M11" s="137" t="s">
        <v>97</v>
      </c>
      <c r="N11" s="137" t="s">
        <v>98</v>
      </c>
      <c r="O11" s="137" t="s">
        <v>590</v>
      </c>
      <c r="P11" s="137" t="s">
        <v>591</v>
      </c>
      <c r="Q11" s="137" t="s">
        <v>101</v>
      </c>
      <c r="R11" s="137" t="s">
        <v>1010</v>
      </c>
      <c r="S11" s="137" t="s">
        <v>103</v>
      </c>
      <c r="T11" s="137" t="s">
        <v>104</v>
      </c>
      <c r="U11" s="137">
        <v>18</v>
      </c>
      <c r="V11" s="137" t="s">
        <v>520</v>
      </c>
      <c r="W11" s="137" t="s">
        <v>107</v>
      </c>
      <c r="X11" s="137" t="s">
        <v>592</v>
      </c>
      <c r="Y11" s="137" t="s">
        <v>109</v>
      </c>
      <c r="Z11" s="137" t="s">
        <v>110</v>
      </c>
      <c r="AA11" s="137" t="s">
        <v>111</v>
      </c>
      <c r="AB11" s="137" t="s">
        <v>112</v>
      </c>
      <c r="AC11" s="137" t="s">
        <v>593</v>
      </c>
      <c r="AD11" s="137" t="s">
        <v>114</v>
      </c>
      <c r="AE11" s="137" t="s">
        <v>115</v>
      </c>
      <c r="AF11" s="137" t="s">
        <v>116</v>
      </c>
      <c r="AG11" s="137" t="s">
        <v>117</v>
      </c>
      <c r="AH11" s="137" t="s">
        <v>594</v>
      </c>
      <c r="AI11" s="137">
        <v>0</v>
      </c>
    </row>
  </sheetData>
  <phoneticPr fontId="27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U12"/>
  <sheetViews>
    <sheetView workbookViewId="0">
      <pane ySplit="1" topLeftCell="A2" activePane="bottomLeft" state="frozen"/>
      <selection pane="bottomLeft" activeCell="I7" sqref="I7"/>
    </sheetView>
  </sheetViews>
  <sheetFormatPr defaultRowHeight="13.5"/>
  <cols>
    <col min="1" max="1" width="51.25" style="134" customWidth="1"/>
    <col min="2" max="2" width="10.875" style="134" bestFit="1" customWidth="1"/>
    <col min="3" max="3" width="6.75" style="134" bestFit="1" customWidth="1"/>
    <col min="4" max="5" width="12.625" style="134" bestFit="1" customWidth="1"/>
    <col min="6" max="6" width="11" style="134" bestFit="1" customWidth="1"/>
    <col min="7" max="7" width="13.875" style="134" bestFit="1" customWidth="1"/>
    <col min="8" max="8" width="6.25" style="134" bestFit="1" customWidth="1"/>
    <col min="9" max="9" width="11.625" style="134" bestFit="1" customWidth="1"/>
    <col min="10" max="10" width="19.875" style="134" bestFit="1" customWidth="1"/>
    <col min="11" max="11" width="16.625" style="134" bestFit="1" customWidth="1"/>
    <col min="12" max="12" width="18.75" style="134" bestFit="1" customWidth="1"/>
    <col min="13" max="13" width="10" style="134" bestFit="1" customWidth="1"/>
    <col min="14" max="14" width="10.5" style="134" bestFit="1" customWidth="1"/>
    <col min="15" max="15" width="19.875" style="134" bestFit="1" customWidth="1"/>
    <col min="16" max="16" width="15.5" style="134" bestFit="1" customWidth="1"/>
    <col min="17" max="17" width="17.625" style="134" bestFit="1" customWidth="1"/>
    <col min="18" max="18" width="9" style="134"/>
    <col min="19" max="19" width="7.75" style="134" bestFit="1" customWidth="1"/>
    <col min="20" max="20" width="19.875" style="134" bestFit="1" customWidth="1"/>
    <col min="21" max="21" width="7.375" style="134" bestFit="1" customWidth="1"/>
    <col min="22" max="16384" width="9" style="134"/>
  </cols>
  <sheetData>
    <row r="1" spans="1:21">
      <c r="A1" s="135" t="s">
        <v>126</v>
      </c>
      <c r="B1" s="135" t="s">
        <v>127</v>
      </c>
      <c r="C1" s="151" t="s">
        <v>181</v>
      </c>
      <c r="D1" s="151" t="s">
        <v>569</v>
      </c>
      <c r="E1" s="151" t="s">
        <v>601</v>
      </c>
      <c r="F1" s="152" t="s">
        <v>185</v>
      </c>
      <c r="G1" s="152" t="s">
        <v>602</v>
      </c>
      <c r="H1" s="152" t="s">
        <v>157</v>
      </c>
      <c r="I1" s="152" t="s">
        <v>158</v>
      </c>
      <c r="J1" s="152" t="s">
        <v>159</v>
      </c>
      <c r="K1" s="152" t="s">
        <v>160</v>
      </c>
      <c r="L1" s="152" t="s">
        <v>161</v>
      </c>
      <c r="M1" s="152" t="s">
        <v>162</v>
      </c>
      <c r="N1" s="152" t="s">
        <v>163</v>
      </c>
      <c r="O1" s="152" t="s">
        <v>164</v>
      </c>
      <c r="P1" s="152" t="s">
        <v>165</v>
      </c>
      <c r="Q1" s="152" t="s">
        <v>166</v>
      </c>
      <c r="R1" s="152" t="s">
        <v>167</v>
      </c>
      <c r="S1" s="152" t="s">
        <v>168</v>
      </c>
      <c r="T1" s="152" t="s">
        <v>189</v>
      </c>
      <c r="U1" s="152" t="s">
        <v>169</v>
      </c>
    </row>
    <row r="2" spans="1:21" ht="67.5">
      <c r="A2" s="161" t="s">
        <v>777</v>
      </c>
      <c r="B2" s="137" t="s">
        <v>754</v>
      </c>
      <c r="C2" s="160" t="s">
        <v>605</v>
      </c>
      <c r="D2" s="137" t="s">
        <v>855</v>
      </c>
      <c r="E2" s="137" t="s">
        <v>604</v>
      </c>
      <c r="F2" s="137">
        <v>4</v>
      </c>
      <c r="G2" s="137" t="s">
        <v>518</v>
      </c>
      <c r="H2" s="137" t="s">
        <v>854</v>
      </c>
      <c r="I2" s="137" t="s">
        <v>521</v>
      </c>
      <c r="J2" s="137" t="s">
        <v>522</v>
      </c>
      <c r="K2" s="137" t="s">
        <v>523</v>
      </c>
      <c r="L2" s="137" t="s">
        <v>97</v>
      </c>
      <c r="M2" s="137" t="s">
        <v>98</v>
      </c>
      <c r="N2" s="137" t="s">
        <v>99</v>
      </c>
      <c r="O2" s="137" t="s">
        <v>524</v>
      </c>
      <c r="P2" s="137" t="s">
        <v>101</v>
      </c>
      <c r="Q2" s="137" t="s">
        <v>102</v>
      </c>
      <c r="R2" s="137" t="s">
        <v>103</v>
      </c>
      <c r="S2" s="137" t="s">
        <v>104</v>
      </c>
      <c r="T2" s="137" t="s">
        <v>525</v>
      </c>
      <c r="U2" s="137">
        <v>0</v>
      </c>
    </row>
    <row r="3" spans="1:21" ht="67.5">
      <c r="A3" s="161" t="s">
        <v>778</v>
      </c>
      <c r="B3" s="137" t="s">
        <v>754</v>
      </c>
      <c r="C3" s="137">
        <v>1</v>
      </c>
      <c r="D3" s="160" t="s">
        <v>574</v>
      </c>
      <c r="E3" s="137" t="s">
        <v>604</v>
      </c>
      <c r="F3" s="137">
        <v>4</v>
      </c>
      <c r="G3" s="137" t="s">
        <v>518</v>
      </c>
      <c r="H3" s="137" t="s">
        <v>854</v>
      </c>
      <c r="I3" s="137" t="s">
        <v>521</v>
      </c>
      <c r="J3" s="137" t="s">
        <v>522</v>
      </c>
      <c r="K3" s="137" t="s">
        <v>523</v>
      </c>
      <c r="L3" s="137" t="s">
        <v>97</v>
      </c>
      <c r="M3" s="137" t="s">
        <v>98</v>
      </c>
      <c r="N3" s="137" t="s">
        <v>99</v>
      </c>
      <c r="O3" s="137" t="s">
        <v>524</v>
      </c>
      <c r="P3" s="137" t="s">
        <v>101</v>
      </c>
      <c r="Q3" s="137" t="s">
        <v>102</v>
      </c>
      <c r="R3" s="137" t="s">
        <v>103</v>
      </c>
      <c r="S3" s="137" t="s">
        <v>104</v>
      </c>
      <c r="T3" s="137" t="s">
        <v>525</v>
      </c>
      <c r="U3" s="137">
        <v>0</v>
      </c>
    </row>
    <row r="4" spans="1:21" ht="67.5">
      <c r="A4" s="161" t="s">
        <v>764</v>
      </c>
      <c r="B4" s="137" t="s">
        <v>754</v>
      </c>
      <c r="C4" s="137">
        <v>1</v>
      </c>
      <c r="D4" s="137" t="s">
        <v>855</v>
      </c>
      <c r="E4" s="137" t="s">
        <v>604</v>
      </c>
      <c r="F4" s="137">
        <v>4</v>
      </c>
      <c r="G4" s="137" t="s">
        <v>518</v>
      </c>
      <c r="H4" s="137" t="s">
        <v>854</v>
      </c>
      <c r="I4" s="137" t="s">
        <v>521</v>
      </c>
      <c r="J4" s="137" t="s">
        <v>522</v>
      </c>
      <c r="K4" s="137" t="s">
        <v>523</v>
      </c>
      <c r="L4" s="137" t="s">
        <v>97</v>
      </c>
      <c r="M4" s="137" t="s">
        <v>98</v>
      </c>
      <c r="N4" s="137" t="s">
        <v>99</v>
      </c>
      <c r="O4" s="137" t="s">
        <v>524</v>
      </c>
      <c r="P4" s="137" t="s">
        <v>101</v>
      </c>
      <c r="Q4" s="137" t="s">
        <v>102</v>
      </c>
      <c r="R4" s="137" t="s">
        <v>103</v>
      </c>
      <c r="S4" s="137" t="s">
        <v>104</v>
      </c>
      <c r="T4" s="137" t="s">
        <v>525</v>
      </c>
      <c r="U4" s="137">
        <v>0</v>
      </c>
    </row>
    <row r="5" spans="1:21" ht="135">
      <c r="A5" s="162" t="s">
        <v>852</v>
      </c>
      <c r="B5" s="137" t="s">
        <v>754</v>
      </c>
      <c r="C5" s="137">
        <v>2</v>
      </c>
      <c r="D5" s="137" t="s">
        <v>564</v>
      </c>
      <c r="E5" s="137" t="s">
        <v>604</v>
      </c>
      <c r="F5" s="137">
        <v>4</v>
      </c>
      <c r="G5" s="137" t="s">
        <v>518</v>
      </c>
      <c r="H5" s="137" t="s">
        <v>854</v>
      </c>
      <c r="I5" s="137" t="s">
        <v>521</v>
      </c>
      <c r="J5" s="137" t="s">
        <v>522</v>
      </c>
      <c r="K5" s="137" t="s">
        <v>523</v>
      </c>
      <c r="L5" s="137" t="s">
        <v>97</v>
      </c>
      <c r="M5" s="137" t="s">
        <v>98</v>
      </c>
      <c r="N5" s="137" t="s">
        <v>99</v>
      </c>
      <c r="O5" s="137" t="s">
        <v>524</v>
      </c>
      <c r="P5" s="137" t="s">
        <v>101</v>
      </c>
      <c r="Q5" s="137" t="s">
        <v>102</v>
      </c>
      <c r="R5" s="137" t="s">
        <v>103</v>
      </c>
      <c r="S5" s="137" t="s">
        <v>104</v>
      </c>
      <c r="T5" s="137" t="s">
        <v>525</v>
      </c>
      <c r="U5" s="137">
        <v>0</v>
      </c>
    </row>
    <row r="6" spans="1:21" ht="94.5">
      <c r="A6" s="162" t="s">
        <v>765</v>
      </c>
      <c r="B6" s="137" t="s">
        <v>754</v>
      </c>
      <c r="C6" s="137">
        <v>3</v>
      </c>
      <c r="D6" s="137" t="s">
        <v>560</v>
      </c>
      <c r="E6" s="137" t="s">
        <v>604</v>
      </c>
      <c r="F6" s="137">
        <v>4</v>
      </c>
      <c r="G6" s="137" t="s">
        <v>518</v>
      </c>
      <c r="H6" s="137" t="s">
        <v>854</v>
      </c>
      <c r="I6" s="137" t="s">
        <v>521</v>
      </c>
      <c r="J6" s="137" t="s">
        <v>522</v>
      </c>
      <c r="K6" s="137" t="s">
        <v>523</v>
      </c>
      <c r="L6" s="137" t="s">
        <v>97</v>
      </c>
      <c r="M6" s="137" t="s">
        <v>98</v>
      </c>
      <c r="N6" s="137" t="s">
        <v>99</v>
      </c>
      <c r="O6" s="137" t="s">
        <v>524</v>
      </c>
      <c r="P6" s="137" t="s">
        <v>101</v>
      </c>
      <c r="Q6" s="137" t="s">
        <v>102</v>
      </c>
      <c r="R6" s="137" t="s">
        <v>103</v>
      </c>
      <c r="S6" s="137" t="s">
        <v>104</v>
      </c>
      <c r="T6" s="137" t="s">
        <v>525</v>
      </c>
      <c r="U6" s="137">
        <v>0</v>
      </c>
    </row>
    <row r="7" spans="1:21" ht="94.5">
      <c r="A7" s="161" t="s">
        <v>766</v>
      </c>
      <c r="B7" s="137" t="s">
        <v>754</v>
      </c>
      <c r="C7" s="137">
        <v>4</v>
      </c>
      <c r="D7" s="137" t="s">
        <v>564</v>
      </c>
      <c r="E7" s="137" t="s">
        <v>604</v>
      </c>
      <c r="F7" s="137">
        <v>4</v>
      </c>
      <c r="G7" s="137" t="s">
        <v>518</v>
      </c>
      <c r="H7" s="137" t="s">
        <v>854</v>
      </c>
      <c r="I7" s="137" t="s">
        <v>521</v>
      </c>
      <c r="J7" s="137" t="s">
        <v>522</v>
      </c>
      <c r="K7" s="137" t="s">
        <v>523</v>
      </c>
      <c r="L7" s="137" t="s">
        <v>97</v>
      </c>
      <c r="M7" s="137" t="s">
        <v>98</v>
      </c>
      <c r="N7" s="137" t="s">
        <v>99</v>
      </c>
      <c r="O7" s="137" t="s">
        <v>524</v>
      </c>
      <c r="P7" s="137" t="s">
        <v>101</v>
      </c>
      <c r="Q7" s="137" t="s">
        <v>102</v>
      </c>
      <c r="R7" s="137" t="s">
        <v>103</v>
      </c>
      <c r="S7" s="137" t="s">
        <v>104</v>
      </c>
      <c r="T7" s="137" t="s">
        <v>525</v>
      </c>
      <c r="U7" s="137">
        <v>0</v>
      </c>
    </row>
    <row r="8" spans="1:21" ht="94.5">
      <c r="A8" s="161" t="s">
        <v>755</v>
      </c>
      <c r="B8" s="137" t="s">
        <v>754</v>
      </c>
      <c r="C8" s="137">
        <v>5</v>
      </c>
      <c r="D8" s="137" t="s">
        <v>561</v>
      </c>
      <c r="E8" s="137" t="s">
        <v>604</v>
      </c>
      <c r="F8" s="137">
        <v>4</v>
      </c>
      <c r="G8" s="137" t="s">
        <v>518</v>
      </c>
      <c r="H8" s="137" t="s">
        <v>854</v>
      </c>
      <c r="I8" s="137" t="s">
        <v>521</v>
      </c>
      <c r="J8" s="137" t="s">
        <v>522</v>
      </c>
      <c r="K8" s="137" t="s">
        <v>523</v>
      </c>
      <c r="L8" s="137" t="s">
        <v>97</v>
      </c>
      <c r="M8" s="137" t="s">
        <v>98</v>
      </c>
      <c r="N8" s="137" t="s">
        <v>99</v>
      </c>
      <c r="O8" s="137" t="s">
        <v>524</v>
      </c>
      <c r="P8" s="137" t="s">
        <v>101</v>
      </c>
      <c r="Q8" s="137" t="s">
        <v>102</v>
      </c>
      <c r="R8" s="137" t="s">
        <v>103</v>
      </c>
      <c r="S8" s="137" t="s">
        <v>104</v>
      </c>
      <c r="T8" s="137" t="s">
        <v>525</v>
      </c>
      <c r="U8" s="137">
        <v>0</v>
      </c>
    </row>
    <row r="9" spans="1:21" ht="27">
      <c r="A9" s="162" t="s">
        <v>752</v>
      </c>
      <c r="B9" s="137" t="s">
        <v>754</v>
      </c>
      <c r="C9" s="137">
        <v>6</v>
      </c>
      <c r="D9" s="137" t="s">
        <v>753</v>
      </c>
      <c r="E9" s="137" t="s">
        <v>604</v>
      </c>
      <c r="F9" s="137">
        <v>4</v>
      </c>
      <c r="G9" s="137" t="s">
        <v>518</v>
      </c>
      <c r="H9" s="137" t="s">
        <v>854</v>
      </c>
      <c r="I9" s="137" t="s">
        <v>521</v>
      </c>
      <c r="J9" s="137" t="s">
        <v>522</v>
      </c>
      <c r="K9" s="137" t="s">
        <v>523</v>
      </c>
      <c r="L9" s="137" t="s">
        <v>97</v>
      </c>
      <c r="M9" s="137" t="s">
        <v>98</v>
      </c>
      <c r="N9" s="137" t="s">
        <v>99</v>
      </c>
      <c r="O9" s="137" t="s">
        <v>524</v>
      </c>
      <c r="P9" s="137" t="s">
        <v>101</v>
      </c>
      <c r="Q9" s="137" t="s">
        <v>102</v>
      </c>
      <c r="R9" s="137" t="s">
        <v>103</v>
      </c>
      <c r="S9" s="137" t="s">
        <v>104</v>
      </c>
      <c r="T9" s="137" t="s">
        <v>525</v>
      </c>
      <c r="U9" s="137">
        <v>0</v>
      </c>
    </row>
    <row r="10" spans="1:21" ht="67.5">
      <c r="A10" s="161" t="s">
        <v>767</v>
      </c>
      <c r="B10" s="137" t="s">
        <v>754</v>
      </c>
      <c r="C10" s="137">
        <v>7</v>
      </c>
      <c r="D10" s="137" t="s">
        <v>563</v>
      </c>
      <c r="E10" s="137" t="s">
        <v>604</v>
      </c>
      <c r="F10" s="137">
        <v>4</v>
      </c>
      <c r="G10" s="137" t="s">
        <v>518</v>
      </c>
      <c r="H10" s="137" t="s">
        <v>854</v>
      </c>
      <c r="I10" s="137" t="s">
        <v>521</v>
      </c>
      <c r="J10" s="137" t="s">
        <v>522</v>
      </c>
      <c r="K10" s="137" t="s">
        <v>523</v>
      </c>
      <c r="L10" s="137" t="s">
        <v>97</v>
      </c>
      <c r="M10" s="137" t="s">
        <v>98</v>
      </c>
      <c r="N10" s="137" t="s">
        <v>99</v>
      </c>
      <c r="O10" s="137" t="s">
        <v>524</v>
      </c>
      <c r="P10" s="137" t="s">
        <v>101</v>
      </c>
      <c r="Q10" s="137" t="s">
        <v>102</v>
      </c>
      <c r="R10" s="137" t="s">
        <v>103</v>
      </c>
      <c r="S10" s="137" t="s">
        <v>104</v>
      </c>
      <c r="T10" s="137" t="s">
        <v>525</v>
      </c>
      <c r="U10" s="137">
        <v>0</v>
      </c>
    </row>
    <row r="11" spans="1:21" ht="40.5">
      <c r="A11" s="161" t="s">
        <v>835</v>
      </c>
      <c r="B11" s="137" t="s">
        <v>754</v>
      </c>
      <c r="C11" s="137" t="s">
        <v>850</v>
      </c>
      <c r="D11" s="137" t="s">
        <v>563</v>
      </c>
      <c r="E11" s="137" t="s">
        <v>604</v>
      </c>
      <c r="F11" s="137">
        <v>4</v>
      </c>
      <c r="G11" s="137" t="s">
        <v>518</v>
      </c>
      <c r="H11" s="137" t="s">
        <v>854</v>
      </c>
      <c r="I11" s="137" t="s">
        <v>521</v>
      </c>
      <c r="J11" s="137" t="s">
        <v>522</v>
      </c>
      <c r="K11" s="137" t="s">
        <v>523</v>
      </c>
      <c r="L11" s="137" t="s">
        <v>97</v>
      </c>
      <c r="M11" s="137" t="s">
        <v>98</v>
      </c>
      <c r="N11" s="137" t="s">
        <v>99</v>
      </c>
      <c r="O11" s="137" t="s">
        <v>524</v>
      </c>
      <c r="P11" s="137" t="s">
        <v>101</v>
      </c>
      <c r="Q11" s="137" t="s">
        <v>102</v>
      </c>
      <c r="R11" s="137" t="s">
        <v>103</v>
      </c>
      <c r="S11" s="137" t="s">
        <v>104</v>
      </c>
      <c r="T11" s="137" t="s">
        <v>525</v>
      </c>
      <c r="U11" s="137">
        <v>0</v>
      </c>
    </row>
    <row r="12" spans="1:21" ht="40.5">
      <c r="A12" s="161" t="s">
        <v>853</v>
      </c>
      <c r="B12" s="137" t="s">
        <v>754</v>
      </c>
      <c r="C12" s="137" t="s">
        <v>851</v>
      </c>
      <c r="D12" s="137" t="s">
        <v>603</v>
      </c>
      <c r="E12" s="137" t="s">
        <v>604</v>
      </c>
      <c r="F12" s="137">
        <v>4</v>
      </c>
      <c r="G12" s="137" t="s">
        <v>518</v>
      </c>
      <c r="H12" s="160" t="s">
        <v>845</v>
      </c>
      <c r="I12" s="137" t="s">
        <v>521</v>
      </c>
      <c r="J12" s="137" t="s">
        <v>522</v>
      </c>
      <c r="K12" s="137" t="s">
        <v>523</v>
      </c>
      <c r="L12" s="137" t="s">
        <v>97</v>
      </c>
      <c r="M12" s="137" t="s">
        <v>98</v>
      </c>
      <c r="N12" s="137" t="s">
        <v>99</v>
      </c>
      <c r="O12" s="137" t="s">
        <v>524</v>
      </c>
      <c r="P12" s="137" t="s">
        <v>101</v>
      </c>
      <c r="Q12" s="137" t="s">
        <v>102</v>
      </c>
      <c r="R12" s="137" t="s">
        <v>103</v>
      </c>
      <c r="S12" s="137" t="s">
        <v>104</v>
      </c>
      <c r="T12" s="137" t="s">
        <v>525</v>
      </c>
      <c r="U12" s="137">
        <v>0</v>
      </c>
    </row>
  </sheetData>
  <phoneticPr fontId="27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Z7"/>
  <sheetViews>
    <sheetView workbookViewId="0">
      <pane ySplit="1" topLeftCell="A2" activePane="bottomLeft" state="frozen"/>
      <selection pane="bottomLeft" activeCell="A3" sqref="A3:XFD7"/>
    </sheetView>
  </sheetViews>
  <sheetFormatPr defaultRowHeight="13.5"/>
  <cols>
    <col min="1" max="1" width="50.375" style="134" customWidth="1"/>
    <col min="2" max="2" width="10.875" style="134" bestFit="1" customWidth="1"/>
    <col min="3" max="3" width="9.375" style="134" bestFit="1" customWidth="1"/>
    <col min="4" max="4" width="10" style="134" bestFit="1" customWidth="1"/>
    <col min="5" max="5" width="9.875" style="134" bestFit="1" customWidth="1"/>
    <col min="6" max="6" width="11.375" style="134" bestFit="1" customWidth="1"/>
    <col min="7" max="7" width="15.875" style="134" bestFit="1" customWidth="1"/>
    <col min="8" max="8" width="20.5" style="134" bestFit="1" customWidth="1"/>
    <col min="9" max="9" width="21.125" style="134" bestFit="1" customWidth="1"/>
    <col min="10" max="10" width="21.75" style="134" bestFit="1" customWidth="1"/>
    <col min="11" max="11" width="22.375" style="134" bestFit="1" customWidth="1"/>
    <col min="12" max="12" width="16.25" style="134" bestFit="1" customWidth="1"/>
    <col min="13" max="13" width="6.25" style="134" bestFit="1" customWidth="1"/>
    <col min="14" max="14" width="11.625" style="134" bestFit="1" customWidth="1"/>
    <col min="15" max="15" width="19.875" style="134" bestFit="1" customWidth="1"/>
    <col min="16" max="16" width="16.625" style="134" bestFit="1" customWidth="1"/>
    <col min="17" max="17" width="18.75" style="134" bestFit="1" customWidth="1"/>
    <col min="18" max="18" width="10" style="134" bestFit="1" customWidth="1"/>
    <col min="19" max="19" width="10.5" style="134" bestFit="1" customWidth="1"/>
    <col min="20" max="20" width="19.875" style="134" bestFit="1" customWidth="1"/>
    <col min="21" max="21" width="15.5" style="134" bestFit="1" customWidth="1"/>
    <col min="22" max="22" width="17.625" style="134" bestFit="1" customWidth="1"/>
    <col min="23" max="23" width="9" style="134"/>
    <col min="24" max="24" width="7.75" style="134" bestFit="1" customWidth="1"/>
    <col min="25" max="25" width="19.875" style="134" bestFit="1" customWidth="1"/>
    <col min="26" max="26" width="7.375" style="134" bestFit="1" customWidth="1"/>
    <col min="27" max="16384" width="9" style="134"/>
  </cols>
  <sheetData>
    <row r="1" spans="1:26">
      <c r="A1" s="135" t="s">
        <v>126</v>
      </c>
      <c r="B1" s="135" t="s">
        <v>127</v>
      </c>
      <c r="C1" s="151" t="s">
        <v>1005</v>
      </c>
      <c r="D1" s="152" t="s">
        <v>139</v>
      </c>
      <c r="E1" s="152" t="s">
        <v>133</v>
      </c>
      <c r="F1" s="152" t="s">
        <v>606</v>
      </c>
      <c r="G1" s="152" t="s">
        <v>607</v>
      </c>
      <c r="H1" s="152" t="s">
        <v>608</v>
      </c>
      <c r="I1" s="152" t="s">
        <v>609</v>
      </c>
      <c r="J1" s="152" t="s">
        <v>610</v>
      </c>
      <c r="K1" s="152" t="s">
        <v>611</v>
      </c>
      <c r="L1" s="152" t="s">
        <v>612</v>
      </c>
      <c r="M1" s="152" t="s">
        <v>157</v>
      </c>
      <c r="N1" s="152" t="s">
        <v>158</v>
      </c>
      <c r="O1" s="152" t="s">
        <v>159</v>
      </c>
      <c r="P1" s="152" t="s">
        <v>160</v>
      </c>
      <c r="Q1" s="152" t="s">
        <v>161</v>
      </c>
      <c r="R1" s="152" t="s">
        <v>162</v>
      </c>
      <c r="S1" s="152" t="s">
        <v>163</v>
      </c>
      <c r="T1" s="152" t="s">
        <v>164</v>
      </c>
      <c r="U1" s="152" t="s">
        <v>165</v>
      </c>
      <c r="V1" s="152" t="s">
        <v>166</v>
      </c>
      <c r="W1" s="152" t="s">
        <v>167</v>
      </c>
      <c r="X1" s="152" t="s">
        <v>168</v>
      </c>
      <c r="Y1" s="152" t="s">
        <v>189</v>
      </c>
      <c r="Z1" s="152" t="s">
        <v>169</v>
      </c>
    </row>
    <row r="2" spans="1:26" ht="67.5">
      <c r="A2" s="161" t="s">
        <v>779</v>
      </c>
      <c r="B2" s="137" t="s">
        <v>754</v>
      </c>
      <c r="C2" s="160" t="s">
        <v>605</v>
      </c>
      <c r="D2" s="137" t="s">
        <v>516</v>
      </c>
      <c r="E2" s="137" t="s">
        <v>604</v>
      </c>
      <c r="F2" s="137" t="s">
        <v>553</v>
      </c>
      <c r="G2" s="137" t="s">
        <v>518</v>
      </c>
      <c r="H2" s="137" t="s">
        <v>519</v>
      </c>
      <c r="I2" s="137" t="s">
        <v>613</v>
      </c>
      <c r="J2" s="137" t="s">
        <v>614</v>
      </c>
      <c r="K2" s="137" t="s">
        <v>615</v>
      </c>
      <c r="L2" s="137" t="s">
        <v>97</v>
      </c>
      <c r="M2" s="137" t="s">
        <v>520</v>
      </c>
      <c r="N2" s="137" t="s">
        <v>98</v>
      </c>
      <c r="O2" s="137" t="s">
        <v>616</v>
      </c>
      <c r="P2" s="137" t="s">
        <v>100</v>
      </c>
      <c r="Q2" s="137" t="s">
        <v>101</v>
      </c>
      <c r="R2" s="137" t="s">
        <v>102</v>
      </c>
      <c r="S2" s="137" t="s">
        <v>103</v>
      </c>
      <c r="T2" s="137" t="s">
        <v>617</v>
      </c>
      <c r="U2" s="137" t="s">
        <v>105</v>
      </c>
      <c r="V2" s="137" t="s">
        <v>107</v>
      </c>
      <c r="W2" s="137" t="s">
        <v>108</v>
      </c>
      <c r="X2" s="137" t="s">
        <v>109</v>
      </c>
      <c r="Y2" s="137" t="s">
        <v>618</v>
      </c>
      <c r="Z2" s="137">
        <v>0</v>
      </c>
    </row>
    <row r="3" spans="1:26" ht="114">
      <c r="A3" s="239" t="s">
        <v>1017</v>
      </c>
      <c r="B3" s="137" t="s">
        <v>754</v>
      </c>
      <c r="C3" s="137" t="s">
        <v>619</v>
      </c>
      <c r="D3" s="137" t="s">
        <v>516</v>
      </c>
      <c r="E3" s="137" t="s">
        <v>604</v>
      </c>
      <c r="F3" s="137" t="s">
        <v>553</v>
      </c>
      <c r="G3" s="137" t="s">
        <v>518</v>
      </c>
      <c r="H3" s="137" t="s">
        <v>519</v>
      </c>
      <c r="I3" s="137" t="s">
        <v>613</v>
      </c>
      <c r="J3" s="137" t="s">
        <v>614</v>
      </c>
      <c r="K3" s="137" t="s">
        <v>615</v>
      </c>
      <c r="L3" s="137" t="s">
        <v>97</v>
      </c>
      <c r="M3" s="137" t="s">
        <v>520</v>
      </c>
      <c r="N3" s="137" t="s">
        <v>98</v>
      </c>
      <c r="O3" s="137" t="s">
        <v>616</v>
      </c>
      <c r="P3" s="137" t="s">
        <v>100</v>
      </c>
      <c r="Q3" s="137" t="s">
        <v>101</v>
      </c>
      <c r="R3" s="137" t="s">
        <v>102</v>
      </c>
      <c r="S3" s="137" t="s">
        <v>103</v>
      </c>
      <c r="T3" s="137" t="s">
        <v>617</v>
      </c>
      <c r="U3" s="137" t="s">
        <v>105</v>
      </c>
      <c r="V3" s="137" t="s">
        <v>107</v>
      </c>
      <c r="W3" s="137" t="s">
        <v>108</v>
      </c>
      <c r="X3" s="137" t="s">
        <v>109</v>
      </c>
      <c r="Y3" s="137" t="s">
        <v>618</v>
      </c>
      <c r="Z3" s="137">
        <v>0</v>
      </c>
    </row>
    <row r="4" spans="1:26" ht="71.25">
      <c r="A4" s="239" t="s">
        <v>1018</v>
      </c>
      <c r="B4" s="137" t="s">
        <v>754</v>
      </c>
      <c r="C4" s="137" t="s">
        <v>68</v>
      </c>
      <c r="D4" s="137" t="s">
        <v>516</v>
      </c>
      <c r="E4" s="137" t="s">
        <v>604</v>
      </c>
      <c r="F4" s="137" t="s">
        <v>553</v>
      </c>
      <c r="G4" s="137" t="s">
        <v>518</v>
      </c>
      <c r="H4" s="137" t="s">
        <v>519</v>
      </c>
      <c r="I4" s="137" t="s">
        <v>613</v>
      </c>
      <c r="J4" s="137" t="s">
        <v>614</v>
      </c>
      <c r="K4" s="137" t="s">
        <v>615</v>
      </c>
      <c r="L4" s="137" t="s">
        <v>97</v>
      </c>
      <c r="M4" s="137" t="s">
        <v>520</v>
      </c>
      <c r="N4" s="137" t="s">
        <v>98</v>
      </c>
      <c r="O4" s="137" t="s">
        <v>616</v>
      </c>
      <c r="P4" s="137" t="s">
        <v>100</v>
      </c>
      <c r="Q4" s="137" t="s">
        <v>101</v>
      </c>
      <c r="R4" s="137" t="s">
        <v>102</v>
      </c>
      <c r="S4" s="137" t="s">
        <v>103</v>
      </c>
      <c r="T4" s="137" t="s">
        <v>617</v>
      </c>
      <c r="U4" s="137" t="s">
        <v>105</v>
      </c>
      <c r="V4" s="137" t="s">
        <v>107</v>
      </c>
      <c r="W4" s="137" t="s">
        <v>108</v>
      </c>
      <c r="X4" s="137" t="s">
        <v>109</v>
      </c>
      <c r="Y4" s="137" t="s">
        <v>618</v>
      </c>
      <c r="Z4" s="137">
        <v>0</v>
      </c>
    </row>
    <row r="5" spans="1:26" ht="81">
      <c r="A5" s="162" t="s">
        <v>762</v>
      </c>
      <c r="B5" s="137" t="s">
        <v>754</v>
      </c>
      <c r="C5" s="137" t="s">
        <v>69</v>
      </c>
      <c r="D5" s="137" t="s">
        <v>516</v>
      </c>
      <c r="E5" s="137" t="s">
        <v>604</v>
      </c>
      <c r="F5" s="137" t="s">
        <v>553</v>
      </c>
      <c r="G5" s="137" t="s">
        <v>518</v>
      </c>
      <c r="H5" s="137" t="s">
        <v>519</v>
      </c>
      <c r="I5" s="137" t="s">
        <v>613</v>
      </c>
      <c r="J5" s="137" t="s">
        <v>614</v>
      </c>
      <c r="K5" s="137" t="s">
        <v>615</v>
      </c>
      <c r="L5" s="137" t="s">
        <v>97</v>
      </c>
      <c r="M5" s="137" t="s">
        <v>520</v>
      </c>
      <c r="N5" s="137" t="s">
        <v>98</v>
      </c>
      <c r="O5" s="137" t="s">
        <v>616</v>
      </c>
      <c r="P5" s="137" t="s">
        <v>100</v>
      </c>
      <c r="Q5" s="137" t="s">
        <v>101</v>
      </c>
      <c r="R5" s="137" t="s">
        <v>102</v>
      </c>
      <c r="S5" s="137" t="s">
        <v>103</v>
      </c>
      <c r="T5" s="137" t="s">
        <v>617</v>
      </c>
      <c r="U5" s="137" t="s">
        <v>105</v>
      </c>
      <c r="V5" s="137" t="s">
        <v>107</v>
      </c>
      <c r="W5" s="137" t="s">
        <v>108</v>
      </c>
      <c r="X5" s="137" t="s">
        <v>109</v>
      </c>
      <c r="Y5" s="137" t="s">
        <v>618</v>
      </c>
      <c r="Z5" s="137">
        <v>0</v>
      </c>
    </row>
    <row r="6" spans="1:26" ht="81">
      <c r="A6" s="162" t="s">
        <v>761</v>
      </c>
      <c r="B6" s="137" t="s">
        <v>754</v>
      </c>
      <c r="C6" s="137" t="s">
        <v>72</v>
      </c>
      <c r="D6" s="137" t="s">
        <v>516</v>
      </c>
      <c r="E6" s="137" t="s">
        <v>604</v>
      </c>
      <c r="F6" s="137" t="s">
        <v>553</v>
      </c>
      <c r="G6" s="137" t="s">
        <v>518</v>
      </c>
      <c r="H6" s="137" t="s">
        <v>519</v>
      </c>
      <c r="I6" s="137" t="s">
        <v>613</v>
      </c>
      <c r="J6" s="137" t="s">
        <v>614</v>
      </c>
      <c r="K6" s="137" t="s">
        <v>615</v>
      </c>
      <c r="L6" s="137" t="s">
        <v>97</v>
      </c>
      <c r="M6" s="137" t="s">
        <v>520</v>
      </c>
      <c r="N6" s="137" t="s">
        <v>98</v>
      </c>
      <c r="O6" s="137" t="s">
        <v>616</v>
      </c>
      <c r="P6" s="137" t="s">
        <v>100</v>
      </c>
      <c r="Q6" s="137" t="s">
        <v>101</v>
      </c>
      <c r="R6" s="137" t="s">
        <v>102</v>
      </c>
      <c r="S6" s="137" t="s">
        <v>103</v>
      </c>
      <c r="T6" s="137" t="s">
        <v>617</v>
      </c>
      <c r="U6" s="137" t="s">
        <v>105</v>
      </c>
      <c r="V6" s="137" t="s">
        <v>107</v>
      </c>
      <c r="W6" s="137" t="s">
        <v>108</v>
      </c>
      <c r="X6" s="137" t="s">
        <v>109</v>
      </c>
      <c r="Y6" s="137" t="s">
        <v>618</v>
      </c>
      <c r="Z6" s="137">
        <v>0</v>
      </c>
    </row>
    <row r="7" spans="1:26" ht="40.5">
      <c r="A7" s="161" t="s">
        <v>1025</v>
      </c>
      <c r="B7" s="137" t="s">
        <v>754</v>
      </c>
      <c r="C7" s="137" t="s">
        <v>597</v>
      </c>
      <c r="D7" s="137" t="s">
        <v>516</v>
      </c>
      <c r="E7" s="137" t="s">
        <v>604</v>
      </c>
      <c r="F7" s="137" t="s">
        <v>553</v>
      </c>
      <c r="G7" s="137" t="s">
        <v>518</v>
      </c>
      <c r="H7" s="137" t="s">
        <v>519</v>
      </c>
      <c r="I7" s="137" t="s">
        <v>613</v>
      </c>
      <c r="J7" s="137" t="s">
        <v>614</v>
      </c>
      <c r="K7" s="137" t="s">
        <v>615</v>
      </c>
      <c r="L7" s="137" t="s">
        <v>97</v>
      </c>
      <c r="M7" s="160" t="s">
        <v>845</v>
      </c>
      <c r="N7" s="137" t="s">
        <v>98</v>
      </c>
      <c r="O7" s="137" t="s">
        <v>616</v>
      </c>
      <c r="P7" s="137" t="s">
        <v>100</v>
      </c>
      <c r="Q7" s="137" t="s">
        <v>101</v>
      </c>
      <c r="R7" s="137" t="s">
        <v>102</v>
      </c>
      <c r="S7" s="137" t="s">
        <v>103</v>
      </c>
      <c r="T7" s="137" t="s">
        <v>617</v>
      </c>
      <c r="U7" s="137" t="s">
        <v>105</v>
      </c>
      <c r="V7" s="137" t="s">
        <v>107</v>
      </c>
      <c r="W7" s="137" t="s">
        <v>108</v>
      </c>
      <c r="X7" s="137" t="s">
        <v>109</v>
      </c>
      <c r="Y7" s="137" t="s">
        <v>618</v>
      </c>
      <c r="Z7" s="137">
        <v>0</v>
      </c>
    </row>
  </sheetData>
  <phoneticPr fontId="27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CJ10"/>
  <sheetViews>
    <sheetView workbookViewId="0">
      <pane ySplit="1" topLeftCell="A7" activePane="bottomLeft" state="frozen"/>
      <selection pane="bottomLeft" activeCell="A21" sqref="A21"/>
    </sheetView>
  </sheetViews>
  <sheetFormatPr defaultRowHeight="13.5"/>
  <cols>
    <col min="1" max="1" width="53.625" style="134" customWidth="1"/>
    <col min="2" max="2" width="10.875" style="134" bestFit="1" customWidth="1"/>
    <col min="3" max="3" width="9.375" style="134" bestFit="1" customWidth="1"/>
    <col min="4" max="5" width="11.625" style="134" bestFit="1" customWidth="1"/>
    <col min="6" max="6" width="6.125" style="134" bestFit="1" customWidth="1"/>
    <col min="7" max="7" width="7.125" style="134" bestFit="1" customWidth="1"/>
    <col min="8" max="8" width="10.5" style="134" bestFit="1" customWidth="1"/>
    <col min="9" max="9" width="13.625" style="134" bestFit="1" customWidth="1"/>
    <col min="10" max="10" width="17.125" style="134" bestFit="1" customWidth="1"/>
    <col min="11" max="13" width="18.125" style="134" bestFit="1" customWidth="1"/>
    <col min="14" max="14" width="17.625" style="134" bestFit="1" customWidth="1"/>
    <col min="15" max="15" width="8.625" style="134" bestFit="1" customWidth="1"/>
    <col min="16" max="16" width="9" style="134"/>
    <col min="17" max="17" width="10.5" style="134" bestFit="1" customWidth="1"/>
    <col min="18" max="18" width="18.125" style="134" bestFit="1" customWidth="1"/>
    <col min="19" max="19" width="22.5" style="134" bestFit="1" customWidth="1"/>
    <col min="20" max="20" width="23.125" style="134" bestFit="1" customWidth="1"/>
    <col min="21" max="21" width="14.75" style="134" bestFit="1" customWidth="1"/>
    <col min="22" max="22" width="18.125" style="134" bestFit="1" customWidth="1"/>
    <col min="23" max="23" width="22.5" style="134" bestFit="1" customWidth="1"/>
    <col min="24" max="24" width="23.125" style="134" bestFit="1" customWidth="1"/>
    <col min="25" max="25" width="14.75" style="134" bestFit="1" customWidth="1"/>
    <col min="26" max="26" width="18.125" style="134" bestFit="1" customWidth="1"/>
    <col min="27" max="27" width="22.5" style="134" bestFit="1" customWidth="1"/>
    <col min="28" max="28" width="23.125" style="134" bestFit="1" customWidth="1"/>
    <col min="29" max="29" width="14.75" style="134" bestFit="1" customWidth="1"/>
    <col min="30" max="30" width="18.125" style="134" bestFit="1" customWidth="1"/>
    <col min="31" max="31" width="22.5" style="134" bestFit="1" customWidth="1"/>
    <col min="32" max="32" width="23.125" style="134" bestFit="1" customWidth="1"/>
    <col min="33" max="33" width="14.75" style="134" bestFit="1" customWidth="1"/>
    <col min="34" max="34" width="18.125" style="134" bestFit="1" customWidth="1"/>
    <col min="35" max="35" width="22.5" style="134" bestFit="1" customWidth="1"/>
    <col min="36" max="36" width="23.125" style="134" bestFit="1" customWidth="1"/>
    <col min="37" max="37" width="14.75" style="134" bestFit="1" customWidth="1"/>
    <col min="38" max="38" width="18.125" style="134" bestFit="1" customWidth="1"/>
    <col min="39" max="39" width="22.5" style="134" bestFit="1" customWidth="1"/>
    <col min="40" max="40" width="23.125" style="134" bestFit="1" customWidth="1"/>
    <col min="41" max="41" width="14.75" style="134" bestFit="1" customWidth="1"/>
    <col min="42" max="42" width="18.125" style="134" bestFit="1" customWidth="1"/>
    <col min="43" max="43" width="22.5" style="134" bestFit="1" customWidth="1"/>
    <col min="44" max="44" width="23.125" style="134" bestFit="1" customWidth="1"/>
    <col min="45" max="45" width="14.75" style="134" bestFit="1" customWidth="1"/>
    <col min="46" max="46" width="18.125" style="134" bestFit="1" customWidth="1"/>
    <col min="47" max="47" width="22.5" style="134" bestFit="1" customWidth="1"/>
    <col min="48" max="48" width="23.125" style="134" bestFit="1" customWidth="1"/>
    <col min="49" max="49" width="14.75" style="134" bestFit="1" customWidth="1"/>
    <col min="50" max="50" width="18.125" style="134" bestFit="1" customWidth="1"/>
    <col min="51" max="51" width="22.5" style="134" bestFit="1" customWidth="1"/>
    <col min="52" max="52" width="23.125" style="134" bestFit="1" customWidth="1"/>
    <col min="53" max="53" width="14.75" style="134" bestFit="1" customWidth="1"/>
    <col min="54" max="54" width="19.25" style="134" bestFit="1" customWidth="1"/>
    <col min="55" max="55" width="23.625" style="134" bestFit="1" customWidth="1"/>
    <col min="56" max="56" width="24.25" style="134" bestFit="1" customWidth="1"/>
    <col min="57" max="57" width="15.875" style="134" bestFit="1" customWidth="1"/>
    <col min="58" max="58" width="15.25" style="134" bestFit="1" customWidth="1"/>
    <col min="59" max="59" width="15" style="134" bestFit="1" customWidth="1"/>
    <col min="60" max="60" width="10.375" style="134" bestFit="1" customWidth="1"/>
    <col min="61" max="61" width="13.375" style="134" bestFit="1" customWidth="1"/>
    <col min="62" max="62" width="11.125" style="134" bestFit="1" customWidth="1"/>
    <col min="63" max="63" width="6.625" style="134" bestFit="1" customWidth="1"/>
    <col min="64" max="65" width="11.625" style="134" bestFit="1" customWidth="1"/>
    <col min="66" max="66" width="3.875" style="134" bestFit="1" customWidth="1"/>
    <col min="67" max="67" width="11.75" style="134" bestFit="1" customWidth="1"/>
    <col min="68" max="68" width="11.25" style="134" bestFit="1" customWidth="1"/>
    <col min="69" max="69" width="15" style="134" bestFit="1" customWidth="1"/>
    <col min="70" max="72" width="16.125" style="134" bestFit="1" customWidth="1"/>
    <col min="73" max="73" width="15.5" style="134" bestFit="1" customWidth="1"/>
    <col min="74" max="74" width="11.375" style="134" bestFit="1" customWidth="1"/>
    <col min="75" max="75" width="6.25" style="134" bestFit="1" customWidth="1"/>
    <col min="76" max="76" width="11.625" style="134" bestFit="1" customWidth="1"/>
    <col min="77" max="77" width="19.875" style="134" bestFit="1" customWidth="1"/>
    <col min="78" max="78" width="16.625" style="134" bestFit="1" customWidth="1"/>
    <col min="79" max="79" width="18.75" style="134" bestFit="1" customWidth="1"/>
    <col min="80" max="80" width="10" style="134" bestFit="1" customWidth="1"/>
    <col min="81" max="81" width="10.5" style="134" bestFit="1" customWidth="1"/>
    <col min="82" max="82" width="19.875" style="134" bestFit="1" customWidth="1"/>
    <col min="83" max="83" width="15.5" style="134" bestFit="1" customWidth="1"/>
    <col min="84" max="84" width="17.625" style="134" bestFit="1" customWidth="1"/>
    <col min="85" max="85" width="9" style="134"/>
    <col min="86" max="86" width="7.75" style="134" bestFit="1" customWidth="1"/>
    <col min="87" max="87" width="19.875" style="134" bestFit="1" customWidth="1"/>
    <col min="88" max="88" width="7.375" style="134" bestFit="1" customWidth="1"/>
    <col min="89" max="16384" width="9" style="134"/>
  </cols>
  <sheetData>
    <row r="1" spans="1:88">
      <c r="A1" s="135" t="s">
        <v>126</v>
      </c>
      <c r="B1" s="135" t="s">
        <v>127</v>
      </c>
      <c r="C1" s="151" t="s">
        <v>138</v>
      </c>
      <c r="D1" s="151" t="s">
        <v>534</v>
      </c>
      <c r="E1" s="152" t="s">
        <v>535</v>
      </c>
      <c r="F1" s="152" t="s">
        <v>141</v>
      </c>
      <c r="G1" s="152" t="s">
        <v>142</v>
      </c>
      <c r="H1" s="152" t="s">
        <v>140</v>
      </c>
      <c r="I1" s="152" t="s">
        <v>134</v>
      </c>
      <c r="J1" s="152" t="s">
        <v>620</v>
      </c>
      <c r="K1" s="152" t="s">
        <v>621</v>
      </c>
      <c r="L1" s="152" t="s">
        <v>622</v>
      </c>
      <c r="M1" s="152" t="s">
        <v>623</v>
      </c>
      <c r="N1" s="152" t="s">
        <v>624</v>
      </c>
      <c r="O1" s="152" t="s">
        <v>625</v>
      </c>
      <c r="P1" s="152" t="s">
        <v>626</v>
      </c>
      <c r="Q1" s="152" t="s">
        <v>627</v>
      </c>
      <c r="R1" s="152" t="s">
        <v>628</v>
      </c>
      <c r="S1" s="152" t="s">
        <v>629</v>
      </c>
      <c r="T1" s="152" t="s">
        <v>630</v>
      </c>
      <c r="U1" s="152" t="s">
        <v>631</v>
      </c>
      <c r="V1" s="152" t="s">
        <v>632</v>
      </c>
      <c r="W1" s="152" t="s">
        <v>633</v>
      </c>
      <c r="X1" s="152" t="s">
        <v>634</v>
      </c>
      <c r="Y1" s="152" t="s">
        <v>635</v>
      </c>
      <c r="Z1" s="152" t="s">
        <v>636</v>
      </c>
      <c r="AA1" s="152" t="s">
        <v>637</v>
      </c>
      <c r="AB1" s="152" t="s">
        <v>638</v>
      </c>
      <c r="AC1" s="152" t="s">
        <v>639</v>
      </c>
      <c r="AD1" s="152" t="s">
        <v>640</v>
      </c>
      <c r="AE1" s="152" t="s">
        <v>641</v>
      </c>
      <c r="AF1" s="152" t="s">
        <v>642</v>
      </c>
      <c r="AG1" s="152" t="s">
        <v>643</v>
      </c>
      <c r="AH1" s="152" t="s">
        <v>644</v>
      </c>
      <c r="AI1" s="152" t="s">
        <v>645</v>
      </c>
      <c r="AJ1" s="152" t="s">
        <v>646</v>
      </c>
      <c r="AK1" s="152" t="s">
        <v>647</v>
      </c>
      <c r="AL1" s="152" t="s">
        <v>648</v>
      </c>
      <c r="AM1" s="152" t="s">
        <v>649</v>
      </c>
      <c r="AN1" s="152" t="s">
        <v>650</v>
      </c>
      <c r="AO1" s="152" t="s">
        <v>651</v>
      </c>
      <c r="AP1" s="152" t="s">
        <v>652</v>
      </c>
      <c r="AQ1" s="152" t="s">
        <v>653</v>
      </c>
      <c r="AR1" s="152" t="s">
        <v>654</v>
      </c>
      <c r="AS1" s="152" t="s">
        <v>655</v>
      </c>
      <c r="AT1" s="152" t="s">
        <v>656</v>
      </c>
      <c r="AU1" s="152" t="s">
        <v>657</v>
      </c>
      <c r="AV1" s="152" t="s">
        <v>658</v>
      </c>
      <c r="AW1" s="152" t="s">
        <v>659</v>
      </c>
      <c r="AX1" s="152" t="s">
        <v>660</v>
      </c>
      <c r="AY1" s="152" t="s">
        <v>661</v>
      </c>
      <c r="AZ1" s="152" t="s">
        <v>662</v>
      </c>
      <c r="BA1" s="152" t="s">
        <v>663</v>
      </c>
      <c r="BB1" s="152" t="s">
        <v>664</v>
      </c>
      <c r="BC1" s="152" t="s">
        <v>665</v>
      </c>
      <c r="BD1" s="152" t="s">
        <v>666</v>
      </c>
      <c r="BE1" s="152" t="s">
        <v>667</v>
      </c>
      <c r="BF1" s="152" t="s">
        <v>668</v>
      </c>
      <c r="BG1" s="152" t="s">
        <v>669</v>
      </c>
      <c r="BH1" s="152" t="s">
        <v>670</v>
      </c>
      <c r="BI1" s="152" t="s">
        <v>671</v>
      </c>
      <c r="BJ1" s="152" t="s">
        <v>672</v>
      </c>
      <c r="BK1" s="152" t="s">
        <v>673</v>
      </c>
      <c r="BL1" s="152" t="s">
        <v>674</v>
      </c>
      <c r="BM1" s="152" t="s">
        <v>675</v>
      </c>
      <c r="BN1" s="152" t="s">
        <v>155</v>
      </c>
      <c r="BO1" s="152" t="s">
        <v>676</v>
      </c>
      <c r="BP1" s="152" t="s">
        <v>677</v>
      </c>
      <c r="BQ1" s="152" t="s">
        <v>678</v>
      </c>
      <c r="BR1" s="152" t="s">
        <v>679</v>
      </c>
      <c r="BS1" s="152" t="s">
        <v>680</v>
      </c>
      <c r="BT1" s="152" t="s">
        <v>681</v>
      </c>
      <c r="BU1" s="152" t="s">
        <v>682</v>
      </c>
      <c r="BV1" s="152" t="s">
        <v>606</v>
      </c>
      <c r="BW1" s="152" t="s">
        <v>157</v>
      </c>
      <c r="BX1" s="152" t="s">
        <v>158</v>
      </c>
      <c r="BY1" s="152" t="s">
        <v>159</v>
      </c>
      <c r="BZ1" s="152" t="s">
        <v>160</v>
      </c>
      <c r="CA1" s="152" t="s">
        <v>161</v>
      </c>
      <c r="CB1" s="152" t="s">
        <v>162</v>
      </c>
      <c r="CC1" s="152" t="s">
        <v>163</v>
      </c>
      <c r="CD1" s="152" t="s">
        <v>164</v>
      </c>
      <c r="CE1" s="152" t="s">
        <v>165</v>
      </c>
      <c r="CF1" s="152" t="s">
        <v>166</v>
      </c>
      <c r="CG1" s="152" t="s">
        <v>167</v>
      </c>
      <c r="CH1" s="152" t="s">
        <v>168</v>
      </c>
      <c r="CI1" s="152" t="s">
        <v>189</v>
      </c>
      <c r="CJ1" s="152" t="s">
        <v>169</v>
      </c>
    </row>
    <row r="2" spans="1:88" ht="67.5">
      <c r="A2" s="161" t="s">
        <v>780</v>
      </c>
      <c r="B2" s="137" t="s">
        <v>754</v>
      </c>
      <c r="C2" s="160" t="s">
        <v>605</v>
      </c>
      <c r="D2" s="137" t="s">
        <v>564</v>
      </c>
      <c r="E2" s="137" t="s">
        <v>562</v>
      </c>
      <c r="F2" s="137" t="s">
        <v>553</v>
      </c>
      <c r="G2" s="137" t="s">
        <v>689</v>
      </c>
      <c r="H2" s="137" t="s">
        <v>528</v>
      </c>
      <c r="I2" s="137" t="s">
        <v>521</v>
      </c>
      <c r="J2" s="137">
        <v>8</v>
      </c>
      <c r="K2" s="137">
        <v>9</v>
      </c>
      <c r="L2" s="137">
        <v>10</v>
      </c>
      <c r="M2" s="137">
        <v>11</v>
      </c>
      <c r="N2" s="137">
        <v>12</v>
      </c>
      <c r="O2" s="137">
        <v>13</v>
      </c>
      <c r="P2" s="137" t="s">
        <v>101</v>
      </c>
      <c r="Q2" s="137" t="s">
        <v>102</v>
      </c>
      <c r="R2" s="137" t="s">
        <v>103</v>
      </c>
      <c r="S2" s="137" t="s">
        <v>104</v>
      </c>
      <c r="T2" s="137" t="s">
        <v>105</v>
      </c>
      <c r="U2" s="137" t="s">
        <v>107</v>
      </c>
      <c r="V2" s="137" t="s">
        <v>108</v>
      </c>
      <c r="W2" s="137" t="s">
        <v>109</v>
      </c>
      <c r="X2" s="137" t="s">
        <v>110</v>
      </c>
      <c r="Y2" s="137" t="s">
        <v>111</v>
      </c>
      <c r="Z2" s="137" t="s">
        <v>112</v>
      </c>
      <c r="AA2" s="137" t="s">
        <v>113</v>
      </c>
      <c r="AB2" s="137" t="s">
        <v>114</v>
      </c>
      <c r="AC2" s="137" t="s">
        <v>115</v>
      </c>
      <c r="AD2" s="137" t="s">
        <v>116</v>
      </c>
      <c r="AE2" s="137" t="s">
        <v>117</v>
      </c>
      <c r="AF2" s="137" t="s">
        <v>118</v>
      </c>
      <c r="AG2" s="137" t="s">
        <v>119</v>
      </c>
      <c r="AH2" s="137" t="s">
        <v>120</v>
      </c>
      <c r="AI2" s="137" t="s">
        <v>197</v>
      </c>
      <c r="AJ2" s="137" t="s">
        <v>272</v>
      </c>
      <c r="AK2" s="137" t="s">
        <v>275</v>
      </c>
      <c r="AL2" s="137" t="s">
        <v>278</v>
      </c>
      <c r="AM2" s="137" t="s">
        <v>281</v>
      </c>
      <c r="AN2" s="137" t="s">
        <v>284</v>
      </c>
      <c r="AO2" s="137" t="s">
        <v>287</v>
      </c>
      <c r="AP2" s="137" t="s">
        <v>290</v>
      </c>
      <c r="AQ2" s="137" t="s">
        <v>293</v>
      </c>
      <c r="AR2" s="137" t="s">
        <v>296</v>
      </c>
      <c r="AS2" s="137" t="s">
        <v>299</v>
      </c>
      <c r="AT2" s="137" t="s">
        <v>302</v>
      </c>
      <c r="AU2" s="137" t="s">
        <v>305</v>
      </c>
      <c r="AV2" s="137" t="s">
        <v>308</v>
      </c>
      <c r="AW2" s="137" t="s">
        <v>311</v>
      </c>
      <c r="AX2" s="137" t="s">
        <v>314</v>
      </c>
      <c r="AY2" s="137" t="s">
        <v>317</v>
      </c>
      <c r="AZ2" s="137" t="s">
        <v>320</v>
      </c>
      <c r="BA2" s="137" t="s">
        <v>323</v>
      </c>
      <c r="BB2" s="137" t="s">
        <v>326</v>
      </c>
      <c r="BC2" s="137" t="s">
        <v>329</v>
      </c>
      <c r="BD2" s="137" t="s">
        <v>332</v>
      </c>
      <c r="BE2" s="137" t="s">
        <v>335</v>
      </c>
      <c r="BF2" s="137">
        <v>56</v>
      </c>
      <c r="BG2" s="137" t="s">
        <v>341</v>
      </c>
      <c r="BH2" s="137" t="s">
        <v>718</v>
      </c>
      <c r="BI2" s="137" t="s">
        <v>347</v>
      </c>
      <c r="BJ2" s="137" t="s">
        <v>350</v>
      </c>
      <c r="BK2" s="137" t="s">
        <v>353</v>
      </c>
      <c r="BL2" s="137" t="s">
        <v>683</v>
      </c>
      <c r="BM2" s="137" t="s">
        <v>684</v>
      </c>
      <c r="BN2" s="137">
        <v>64</v>
      </c>
      <c r="BO2" s="137" t="s">
        <v>365</v>
      </c>
      <c r="BP2" s="137" t="s">
        <v>196</v>
      </c>
      <c r="BQ2" s="137">
        <v>67</v>
      </c>
      <c r="BR2" s="137">
        <v>68</v>
      </c>
      <c r="BS2" s="137">
        <v>69</v>
      </c>
      <c r="BT2" s="137">
        <v>70</v>
      </c>
      <c r="BU2" s="137">
        <v>71</v>
      </c>
      <c r="BV2" s="137" t="s">
        <v>385</v>
      </c>
      <c r="BW2" s="137" t="s">
        <v>520</v>
      </c>
      <c r="BX2" s="137" t="s">
        <v>388</v>
      </c>
      <c r="BY2" s="137" t="s">
        <v>685</v>
      </c>
      <c r="BZ2" s="137" t="s">
        <v>394</v>
      </c>
      <c r="CA2" s="137" t="s">
        <v>397</v>
      </c>
      <c r="CB2" s="137" t="s">
        <v>400</v>
      </c>
      <c r="CC2" s="137" t="s">
        <v>403</v>
      </c>
      <c r="CD2" s="137" t="s">
        <v>686</v>
      </c>
      <c r="CE2" s="137" t="s">
        <v>409</v>
      </c>
      <c r="CF2" s="137" t="s">
        <v>412</v>
      </c>
      <c r="CG2" s="137" t="s">
        <v>415</v>
      </c>
      <c r="CH2" s="137" t="s">
        <v>417</v>
      </c>
      <c r="CI2" s="137" t="s">
        <v>687</v>
      </c>
      <c r="CJ2" s="137">
        <v>0</v>
      </c>
    </row>
    <row r="3" spans="1:88" ht="202.5">
      <c r="A3" s="162" t="s">
        <v>856</v>
      </c>
      <c r="B3" s="137" t="s">
        <v>754</v>
      </c>
      <c r="C3" s="137">
        <v>1</v>
      </c>
      <c r="D3" s="137" t="s">
        <v>564</v>
      </c>
      <c r="E3" s="160" t="s">
        <v>560</v>
      </c>
      <c r="F3" s="137" t="s">
        <v>553</v>
      </c>
      <c r="G3" s="137" t="s">
        <v>689</v>
      </c>
      <c r="H3" s="137" t="s">
        <v>528</v>
      </c>
      <c r="I3" s="137" t="s">
        <v>521</v>
      </c>
      <c r="J3" s="137">
        <v>8</v>
      </c>
      <c r="K3" s="137">
        <v>9</v>
      </c>
      <c r="L3" s="137">
        <v>10</v>
      </c>
      <c r="M3" s="137">
        <v>11</v>
      </c>
      <c r="N3" s="137">
        <v>12</v>
      </c>
      <c r="O3" s="137">
        <v>13</v>
      </c>
      <c r="P3" s="137" t="s">
        <v>101</v>
      </c>
      <c r="Q3" s="137" t="s">
        <v>102</v>
      </c>
      <c r="R3" s="137" t="s">
        <v>103</v>
      </c>
      <c r="S3" s="137" t="s">
        <v>104</v>
      </c>
      <c r="T3" s="137" t="s">
        <v>105</v>
      </c>
      <c r="U3" s="137" t="s">
        <v>107</v>
      </c>
      <c r="V3" s="137" t="s">
        <v>108</v>
      </c>
      <c r="W3" s="137" t="s">
        <v>109</v>
      </c>
      <c r="X3" s="137" t="s">
        <v>110</v>
      </c>
      <c r="Y3" s="137" t="s">
        <v>111</v>
      </c>
      <c r="Z3" s="137" t="s">
        <v>112</v>
      </c>
      <c r="AA3" s="137" t="s">
        <v>113</v>
      </c>
      <c r="AB3" s="137" t="s">
        <v>114</v>
      </c>
      <c r="AC3" s="137" t="s">
        <v>115</v>
      </c>
      <c r="AD3" s="137" t="s">
        <v>116</v>
      </c>
      <c r="AE3" s="137" t="s">
        <v>117</v>
      </c>
      <c r="AF3" s="137" t="s">
        <v>118</v>
      </c>
      <c r="AG3" s="137" t="s">
        <v>119</v>
      </c>
      <c r="AH3" s="137" t="s">
        <v>120</v>
      </c>
      <c r="AI3" s="137" t="s">
        <v>197</v>
      </c>
      <c r="AJ3" s="137" t="s">
        <v>272</v>
      </c>
      <c r="AK3" s="137" t="s">
        <v>275</v>
      </c>
      <c r="AL3" s="137" t="s">
        <v>278</v>
      </c>
      <c r="AM3" s="137" t="s">
        <v>281</v>
      </c>
      <c r="AN3" s="137" t="s">
        <v>284</v>
      </c>
      <c r="AO3" s="137" t="s">
        <v>287</v>
      </c>
      <c r="AP3" s="137" t="s">
        <v>290</v>
      </c>
      <c r="AQ3" s="137" t="s">
        <v>293</v>
      </c>
      <c r="AR3" s="137" t="s">
        <v>296</v>
      </c>
      <c r="AS3" s="137" t="s">
        <v>299</v>
      </c>
      <c r="AT3" s="137" t="s">
        <v>302</v>
      </c>
      <c r="AU3" s="137" t="s">
        <v>305</v>
      </c>
      <c r="AV3" s="137" t="s">
        <v>308</v>
      </c>
      <c r="AW3" s="137" t="s">
        <v>311</v>
      </c>
      <c r="AX3" s="137" t="s">
        <v>314</v>
      </c>
      <c r="AY3" s="137" t="s">
        <v>317</v>
      </c>
      <c r="AZ3" s="137" t="s">
        <v>320</v>
      </c>
      <c r="BA3" s="137" t="s">
        <v>323</v>
      </c>
      <c r="BB3" s="137" t="s">
        <v>326</v>
      </c>
      <c r="BC3" s="137" t="s">
        <v>329</v>
      </c>
      <c r="BD3" s="137" t="s">
        <v>332</v>
      </c>
      <c r="BE3" s="137" t="s">
        <v>335</v>
      </c>
      <c r="BF3" s="137">
        <v>56</v>
      </c>
      <c r="BG3" s="137" t="s">
        <v>341</v>
      </c>
      <c r="BH3" s="137" t="s">
        <v>718</v>
      </c>
      <c r="BI3" s="137" t="s">
        <v>347</v>
      </c>
      <c r="BJ3" s="137" t="s">
        <v>350</v>
      </c>
      <c r="BK3" s="137" t="s">
        <v>353</v>
      </c>
      <c r="BL3" s="137" t="s">
        <v>683</v>
      </c>
      <c r="BM3" s="137" t="s">
        <v>684</v>
      </c>
      <c r="BN3" s="137">
        <v>64</v>
      </c>
      <c r="BO3" s="137" t="s">
        <v>365</v>
      </c>
      <c r="BP3" s="137" t="s">
        <v>196</v>
      </c>
      <c r="BQ3" s="137">
        <v>67</v>
      </c>
      <c r="BR3" s="137">
        <v>68</v>
      </c>
      <c r="BS3" s="137">
        <v>69</v>
      </c>
      <c r="BT3" s="137">
        <v>70</v>
      </c>
      <c r="BU3" s="137">
        <v>71</v>
      </c>
      <c r="BV3" s="137" t="s">
        <v>385</v>
      </c>
      <c r="BW3" s="137" t="s">
        <v>520</v>
      </c>
      <c r="BX3" s="137" t="s">
        <v>388</v>
      </c>
      <c r="BY3" s="137" t="s">
        <v>685</v>
      </c>
      <c r="BZ3" s="137" t="s">
        <v>394</v>
      </c>
      <c r="CA3" s="137" t="s">
        <v>397</v>
      </c>
      <c r="CB3" s="137" t="s">
        <v>400</v>
      </c>
      <c r="CC3" s="137" t="s">
        <v>403</v>
      </c>
      <c r="CD3" s="137" t="s">
        <v>686</v>
      </c>
      <c r="CE3" s="137" t="s">
        <v>409</v>
      </c>
      <c r="CF3" s="137" t="s">
        <v>412</v>
      </c>
      <c r="CG3" s="137" t="s">
        <v>415</v>
      </c>
      <c r="CH3" s="137" t="s">
        <v>417</v>
      </c>
      <c r="CI3" s="137" t="s">
        <v>687</v>
      </c>
      <c r="CJ3" s="137">
        <v>0</v>
      </c>
    </row>
    <row r="4" spans="1:88" ht="162">
      <c r="A4" s="162" t="s">
        <v>857</v>
      </c>
      <c r="B4" s="137" t="s">
        <v>754</v>
      </c>
      <c r="C4" s="137">
        <v>2</v>
      </c>
      <c r="D4" s="160" t="s">
        <v>560</v>
      </c>
      <c r="E4" s="137" t="s">
        <v>561</v>
      </c>
      <c r="F4" s="137" t="s">
        <v>553</v>
      </c>
      <c r="G4" s="137" t="s">
        <v>689</v>
      </c>
      <c r="H4" s="137" t="s">
        <v>528</v>
      </c>
      <c r="I4" s="137" t="s">
        <v>521</v>
      </c>
      <c r="J4" s="137">
        <v>8</v>
      </c>
      <c r="K4" s="137">
        <v>9</v>
      </c>
      <c r="L4" s="137">
        <v>10</v>
      </c>
      <c r="M4" s="137">
        <v>11</v>
      </c>
      <c r="N4" s="137">
        <v>12</v>
      </c>
      <c r="O4" s="137">
        <v>13</v>
      </c>
      <c r="P4" s="137" t="s">
        <v>101</v>
      </c>
      <c r="Q4" s="137" t="s">
        <v>102</v>
      </c>
      <c r="R4" s="137" t="s">
        <v>103</v>
      </c>
      <c r="S4" s="137" t="s">
        <v>104</v>
      </c>
      <c r="T4" s="137" t="s">
        <v>105</v>
      </c>
      <c r="U4" s="137" t="s">
        <v>107</v>
      </c>
      <c r="V4" s="137" t="s">
        <v>108</v>
      </c>
      <c r="W4" s="137" t="s">
        <v>109</v>
      </c>
      <c r="X4" s="137" t="s">
        <v>110</v>
      </c>
      <c r="Y4" s="137" t="s">
        <v>111</v>
      </c>
      <c r="Z4" s="137" t="s">
        <v>112</v>
      </c>
      <c r="AA4" s="137" t="s">
        <v>113</v>
      </c>
      <c r="AB4" s="137" t="s">
        <v>114</v>
      </c>
      <c r="AC4" s="137" t="s">
        <v>115</v>
      </c>
      <c r="AD4" s="137" t="s">
        <v>116</v>
      </c>
      <c r="AE4" s="137" t="s">
        <v>117</v>
      </c>
      <c r="AF4" s="137" t="s">
        <v>118</v>
      </c>
      <c r="AG4" s="137" t="s">
        <v>119</v>
      </c>
      <c r="AH4" s="137" t="s">
        <v>120</v>
      </c>
      <c r="AI4" s="137" t="s">
        <v>197</v>
      </c>
      <c r="AJ4" s="137" t="s">
        <v>272</v>
      </c>
      <c r="AK4" s="137" t="s">
        <v>275</v>
      </c>
      <c r="AL4" s="137" t="s">
        <v>278</v>
      </c>
      <c r="AM4" s="137" t="s">
        <v>281</v>
      </c>
      <c r="AN4" s="137" t="s">
        <v>284</v>
      </c>
      <c r="AO4" s="137" t="s">
        <v>287</v>
      </c>
      <c r="AP4" s="137" t="s">
        <v>290</v>
      </c>
      <c r="AQ4" s="137" t="s">
        <v>293</v>
      </c>
      <c r="AR4" s="137" t="s">
        <v>296</v>
      </c>
      <c r="AS4" s="137" t="s">
        <v>299</v>
      </c>
      <c r="AT4" s="137" t="s">
        <v>302</v>
      </c>
      <c r="AU4" s="137" t="s">
        <v>305</v>
      </c>
      <c r="AV4" s="137" t="s">
        <v>308</v>
      </c>
      <c r="AW4" s="137" t="s">
        <v>311</v>
      </c>
      <c r="AX4" s="137" t="s">
        <v>314</v>
      </c>
      <c r="AY4" s="137" t="s">
        <v>317</v>
      </c>
      <c r="AZ4" s="137" t="s">
        <v>320</v>
      </c>
      <c r="BA4" s="137" t="s">
        <v>323</v>
      </c>
      <c r="BB4" s="137" t="s">
        <v>326</v>
      </c>
      <c r="BC4" s="137" t="s">
        <v>329</v>
      </c>
      <c r="BD4" s="137" t="s">
        <v>332</v>
      </c>
      <c r="BE4" s="137" t="s">
        <v>335</v>
      </c>
      <c r="BF4" s="137">
        <v>56</v>
      </c>
      <c r="BG4" s="137" t="s">
        <v>341</v>
      </c>
      <c r="BH4" s="137" t="s">
        <v>70</v>
      </c>
      <c r="BI4" s="137" t="s">
        <v>347</v>
      </c>
      <c r="BJ4" s="137" t="s">
        <v>350</v>
      </c>
      <c r="BK4" s="137" t="s">
        <v>353</v>
      </c>
      <c r="BL4" s="137" t="s">
        <v>683</v>
      </c>
      <c r="BM4" s="137" t="s">
        <v>684</v>
      </c>
      <c r="BN4" s="137">
        <v>64</v>
      </c>
      <c r="BO4" s="137" t="s">
        <v>365</v>
      </c>
      <c r="BP4" s="137" t="s">
        <v>196</v>
      </c>
      <c r="BQ4" s="137">
        <v>67</v>
      </c>
      <c r="BR4" s="137">
        <v>68</v>
      </c>
      <c r="BS4" s="137">
        <v>69</v>
      </c>
      <c r="BT4" s="137">
        <v>70</v>
      </c>
      <c r="BU4" s="137">
        <v>71</v>
      </c>
      <c r="BV4" s="137" t="s">
        <v>385</v>
      </c>
      <c r="BW4" s="137" t="s">
        <v>520</v>
      </c>
      <c r="BX4" s="137" t="s">
        <v>388</v>
      </c>
      <c r="BY4" s="137" t="s">
        <v>685</v>
      </c>
      <c r="BZ4" s="137" t="s">
        <v>394</v>
      </c>
      <c r="CA4" s="137" t="s">
        <v>397</v>
      </c>
      <c r="CB4" s="137" t="s">
        <v>400</v>
      </c>
      <c r="CC4" s="137" t="s">
        <v>403</v>
      </c>
      <c r="CD4" s="137" t="s">
        <v>686</v>
      </c>
      <c r="CE4" s="137" t="s">
        <v>409</v>
      </c>
      <c r="CF4" s="137" t="s">
        <v>412</v>
      </c>
      <c r="CG4" s="137" t="s">
        <v>415</v>
      </c>
      <c r="CH4" s="137" t="s">
        <v>417</v>
      </c>
      <c r="CI4" s="137" t="s">
        <v>687</v>
      </c>
      <c r="CJ4" s="137">
        <v>0</v>
      </c>
    </row>
    <row r="5" spans="1:88" ht="162">
      <c r="A5" s="161" t="s">
        <v>858</v>
      </c>
      <c r="B5" s="137" t="s">
        <v>754</v>
      </c>
      <c r="C5" s="137">
        <v>3</v>
      </c>
      <c r="D5" s="137" t="s">
        <v>563</v>
      </c>
      <c r="E5" s="160" t="s">
        <v>564</v>
      </c>
      <c r="F5" s="137" t="s">
        <v>553</v>
      </c>
      <c r="G5" s="137" t="s">
        <v>689</v>
      </c>
      <c r="H5" s="137" t="s">
        <v>528</v>
      </c>
      <c r="I5" s="137" t="s">
        <v>521</v>
      </c>
      <c r="J5" s="137">
        <v>8</v>
      </c>
      <c r="K5" s="137">
        <v>9</v>
      </c>
      <c r="L5" s="137">
        <v>10</v>
      </c>
      <c r="M5" s="137">
        <v>11</v>
      </c>
      <c r="N5" s="137">
        <v>12</v>
      </c>
      <c r="O5" s="137">
        <v>13</v>
      </c>
      <c r="P5" s="137" t="s">
        <v>101</v>
      </c>
      <c r="Q5" s="137" t="s">
        <v>102</v>
      </c>
      <c r="R5" s="137" t="s">
        <v>103</v>
      </c>
      <c r="S5" s="137" t="s">
        <v>104</v>
      </c>
      <c r="T5" s="137" t="s">
        <v>105</v>
      </c>
      <c r="U5" s="137" t="s">
        <v>107</v>
      </c>
      <c r="V5" s="137" t="s">
        <v>108</v>
      </c>
      <c r="W5" s="137" t="s">
        <v>109</v>
      </c>
      <c r="X5" s="137" t="s">
        <v>110</v>
      </c>
      <c r="Y5" s="137" t="s">
        <v>111</v>
      </c>
      <c r="Z5" s="137" t="s">
        <v>112</v>
      </c>
      <c r="AA5" s="137" t="s">
        <v>113</v>
      </c>
      <c r="AB5" s="137" t="s">
        <v>114</v>
      </c>
      <c r="AC5" s="137" t="s">
        <v>115</v>
      </c>
      <c r="AD5" s="137" t="s">
        <v>116</v>
      </c>
      <c r="AE5" s="137" t="s">
        <v>117</v>
      </c>
      <c r="AF5" s="137" t="s">
        <v>118</v>
      </c>
      <c r="AG5" s="137" t="s">
        <v>119</v>
      </c>
      <c r="AH5" s="137" t="s">
        <v>120</v>
      </c>
      <c r="AI5" s="137" t="s">
        <v>197</v>
      </c>
      <c r="AJ5" s="137" t="s">
        <v>272</v>
      </c>
      <c r="AK5" s="137" t="s">
        <v>275</v>
      </c>
      <c r="AL5" s="137" t="s">
        <v>278</v>
      </c>
      <c r="AM5" s="137" t="s">
        <v>281</v>
      </c>
      <c r="AN5" s="137" t="s">
        <v>284</v>
      </c>
      <c r="AO5" s="137" t="s">
        <v>287</v>
      </c>
      <c r="AP5" s="137" t="s">
        <v>290</v>
      </c>
      <c r="AQ5" s="137" t="s">
        <v>293</v>
      </c>
      <c r="AR5" s="137" t="s">
        <v>296</v>
      </c>
      <c r="AS5" s="137" t="s">
        <v>299</v>
      </c>
      <c r="AT5" s="137" t="s">
        <v>302</v>
      </c>
      <c r="AU5" s="137" t="s">
        <v>305</v>
      </c>
      <c r="AV5" s="137" t="s">
        <v>308</v>
      </c>
      <c r="AW5" s="137" t="s">
        <v>311</v>
      </c>
      <c r="AX5" s="137" t="s">
        <v>314</v>
      </c>
      <c r="AY5" s="137" t="s">
        <v>317</v>
      </c>
      <c r="AZ5" s="137" t="s">
        <v>320</v>
      </c>
      <c r="BA5" s="137" t="s">
        <v>323</v>
      </c>
      <c r="BB5" s="137" t="s">
        <v>326</v>
      </c>
      <c r="BC5" s="137" t="s">
        <v>329</v>
      </c>
      <c r="BD5" s="137" t="s">
        <v>332</v>
      </c>
      <c r="BE5" s="137" t="s">
        <v>335</v>
      </c>
      <c r="BF5" s="137">
        <v>56</v>
      </c>
      <c r="BG5" s="137" t="s">
        <v>341</v>
      </c>
      <c r="BH5" s="137" t="s">
        <v>70</v>
      </c>
      <c r="BI5" s="137" t="s">
        <v>347</v>
      </c>
      <c r="BJ5" s="137" t="s">
        <v>350</v>
      </c>
      <c r="BK5" s="137" t="s">
        <v>353</v>
      </c>
      <c r="BL5" s="137" t="s">
        <v>683</v>
      </c>
      <c r="BM5" s="137" t="s">
        <v>684</v>
      </c>
      <c r="BN5" s="137">
        <v>64</v>
      </c>
      <c r="BO5" s="137" t="s">
        <v>365</v>
      </c>
      <c r="BP5" s="137" t="s">
        <v>196</v>
      </c>
      <c r="BQ5" s="137">
        <v>67</v>
      </c>
      <c r="BR5" s="137">
        <v>68</v>
      </c>
      <c r="BS5" s="137">
        <v>69</v>
      </c>
      <c r="BT5" s="137">
        <v>70</v>
      </c>
      <c r="BU5" s="137">
        <v>71</v>
      </c>
      <c r="BV5" s="137" t="s">
        <v>385</v>
      </c>
      <c r="BW5" s="137" t="s">
        <v>520</v>
      </c>
      <c r="BX5" s="137" t="s">
        <v>388</v>
      </c>
      <c r="BY5" s="137" t="s">
        <v>685</v>
      </c>
      <c r="BZ5" s="137" t="s">
        <v>394</v>
      </c>
      <c r="CA5" s="137" t="s">
        <v>397</v>
      </c>
      <c r="CB5" s="137" t="s">
        <v>400</v>
      </c>
      <c r="CC5" s="137" t="s">
        <v>403</v>
      </c>
      <c r="CD5" s="137" t="s">
        <v>686</v>
      </c>
      <c r="CE5" s="137" t="s">
        <v>409</v>
      </c>
      <c r="CF5" s="137" t="s">
        <v>412</v>
      </c>
      <c r="CG5" s="137" t="s">
        <v>415</v>
      </c>
      <c r="CH5" s="137" t="s">
        <v>417</v>
      </c>
      <c r="CI5" s="137" t="s">
        <v>687</v>
      </c>
      <c r="CJ5" s="137">
        <v>0</v>
      </c>
    </row>
    <row r="6" spans="1:88" ht="162">
      <c r="A6" s="161" t="s">
        <v>859</v>
      </c>
      <c r="B6" s="137" t="s">
        <v>754</v>
      </c>
      <c r="C6" s="137">
        <v>4</v>
      </c>
      <c r="D6" s="160" t="s">
        <v>562</v>
      </c>
      <c r="E6" s="137" t="s">
        <v>561</v>
      </c>
      <c r="F6" s="137" t="s">
        <v>553</v>
      </c>
      <c r="G6" s="137" t="s">
        <v>689</v>
      </c>
      <c r="H6" s="137" t="s">
        <v>528</v>
      </c>
      <c r="I6" s="137" t="s">
        <v>521</v>
      </c>
      <c r="J6" s="137">
        <v>8</v>
      </c>
      <c r="K6" s="137">
        <v>9</v>
      </c>
      <c r="L6" s="137">
        <v>10</v>
      </c>
      <c r="M6" s="137">
        <v>11</v>
      </c>
      <c r="N6" s="137">
        <v>12</v>
      </c>
      <c r="O6" s="137">
        <v>13</v>
      </c>
      <c r="P6" s="137" t="s">
        <v>101</v>
      </c>
      <c r="Q6" s="137" t="s">
        <v>102</v>
      </c>
      <c r="R6" s="137" t="s">
        <v>103</v>
      </c>
      <c r="S6" s="137" t="s">
        <v>104</v>
      </c>
      <c r="T6" s="137" t="s">
        <v>105</v>
      </c>
      <c r="U6" s="137" t="s">
        <v>107</v>
      </c>
      <c r="V6" s="137" t="s">
        <v>108</v>
      </c>
      <c r="W6" s="137" t="s">
        <v>109</v>
      </c>
      <c r="X6" s="137" t="s">
        <v>110</v>
      </c>
      <c r="Y6" s="137" t="s">
        <v>111</v>
      </c>
      <c r="Z6" s="137" t="s">
        <v>112</v>
      </c>
      <c r="AA6" s="137" t="s">
        <v>113</v>
      </c>
      <c r="AB6" s="137" t="s">
        <v>114</v>
      </c>
      <c r="AC6" s="137" t="s">
        <v>115</v>
      </c>
      <c r="AD6" s="137" t="s">
        <v>116</v>
      </c>
      <c r="AE6" s="137" t="s">
        <v>117</v>
      </c>
      <c r="AF6" s="137" t="s">
        <v>118</v>
      </c>
      <c r="AG6" s="137" t="s">
        <v>119</v>
      </c>
      <c r="AH6" s="137" t="s">
        <v>120</v>
      </c>
      <c r="AI6" s="137" t="s">
        <v>197</v>
      </c>
      <c r="AJ6" s="137" t="s">
        <v>272</v>
      </c>
      <c r="AK6" s="137" t="s">
        <v>275</v>
      </c>
      <c r="AL6" s="137" t="s">
        <v>278</v>
      </c>
      <c r="AM6" s="137" t="s">
        <v>281</v>
      </c>
      <c r="AN6" s="137" t="s">
        <v>284</v>
      </c>
      <c r="AO6" s="137" t="s">
        <v>287</v>
      </c>
      <c r="AP6" s="137" t="s">
        <v>290</v>
      </c>
      <c r="AQ6" s="137" t="s">
        <v>293</v>
      </c>
      <c r="AR6" s="137" t="s">
        <v>296</v>
      </c>
      <c r="AS6" s="137" t="s">
        <v>299</v>
      </c>
      <c r="AT6" s="137" t="s">
        <v>302</v>
      </c>
      <c r="AU6" s="137" t="s">
        <v>305</v>
      </c>
      <c r="AV6" s="137" t="s">
        <v>308</v>
      </c>
      <c r="AW6" s="137" t="s">
        <v>311</v>
      </c>
      <c r="AX6" s="137" t="s">
        <v>314</v>
      </c>
      <c r="AY6" s="137" t="s">
        <v>317</v>
      </c>
      <c r="AZ6" s="137" t="s">
        <v>320</v>
      </c>
      <c r="BA6" s="137" t="s">
        <v>323</v>
      </c>
      <c r="BB6" s="137" t="s">
        <v>326</v>
      </c>
      <c r="BC6" s="137" t="s">
        <v>329</v>
      </c>
      <c r="BD6" s="137" t="s">
        <v>332</v>
      </c>
      <c r="BE6" s="137" t="s">
        <v>335</v>
      </c>
      <c r="BF6" s="137">
        <v>56</v>
      </c>
      <c r="BG6" s="137" t="s">
        <v>341</v>
      </c>
      <c r="BH6" s="137" t="s">
        <v>70</v>
      </c>
      <c r="BI6" s="137" t="s">
        <v>347</v>
      </c>
      <c r="BJ6" s="137" t="s">
        <v>350</v>
      </c>
      <c r="BK6" s="137" t="s">
        <v>353</v>
      </c>
      <c r="BL6" s="137" t="s">
        <v>683</v>
      </c>
      <c r="BM6" s="137" t="s">
        <v>684</v>
      </c>
      <c r="BN6" s="137">
        <v>64</v>
      </c>
      <c r="BO6" s="137" t="s">
        <v>365</v>
      </c>
      <c r="BP6" s="137" t="s">
        <v>196</v>
      </c>
      <c r="BQ6" s="137">
        <v>67</v>
      </c>
      <c r="BR6" s="137">
        <v>68</v>
      </c>
      <c r="BS6" s="137">
        <v>69</v>
      </c>
      <c r="BT6" s="137">
        <v>70</v>
      </c>
      <c r="BU6" s="137">
        <v>71</v>
      </c>
      <c r="BV6" s="137" t="s">
        <v>385</v>
      </c>
      <c r="BW6" s="137" t="s">
        <v>520</v>
      </c>
      <c r="BX6" s="137" t="s">
        <v>388</v>
      </c>
      <c r="BY6" s="137" t="s">
        <v>685</v>
      </c>
      <c r="BZ6" s="137" t="s">
        <v>394</v>
      </c>
      <c r="CA6" s="137" t="s">
        <v>397</v>
      </c>
      <c r="CB6" s="137" t="s">
        <v>400</v>
      </c>
      <c r="CC6" s="137" t="s">
        <v>403</v>
      </c>
      <c r="CD6" s="137" t="s">
        <v>686</v>
      </c>
      <c r="CE6" s="137" t="s">
        <v>409</v>
      </c>
      <c r="CF6" s="137" t="s">
        <v>412</v>
      </c>
      <c r="CG6" s="137" t="s">
        <v>415</v>
      </c>
      <c r="CH6" s="137" t="s">
        <v>417</v>
      </c>
      <c r="CI6" s="137" t="s">
        <v>687</v>
      </c>
      <c r="CJ6" s="137">
        <v>0</v>
      </c>
    </row>
    <row r="7" spans="1:88" ht="94.5">
      <c r="A7" s="162" t="s">
        <v>860</v>
      </c>
      <c r="B7" s="137" t="s">
        <v>754</v>
      </c>
      <c r="C7" s="137">
        <v>5</v>
      </c>
      <c r="D7" s="160" t="s">
        <v>753</v>
      </c>
      <c r="E7" s="160" t="s">
        <v>560</v>
      </c>
      <c r="F7" s="137" t="s">
        <v>553</v>
      </c>
      <c r="G7" s="137" t="s">
        <v>689</v>
      </c>
      <c r="H7" s="137" t="s">
        <v>528</v>
      </c>
      <c r="I7" s="137" t="s">
        <v>521</v>
      </c>
      <c r="J7" s="137">
        <v>8</v>
      </c>
      <c r="K7" s="137">
        <v>9</v>
      </c>
      <c r="L7" s="137">
        <v>10</v>
      </c>
      <c r="M7" s="137">
        <v>11</v>
      </c>
      <c r="N7" s="137">
        <v>12</v>
      </c>
      <c r="O7" s="137">
        <v>13</v>
      </c>
      <c r="P7" s="137" t="s">
        <v>101</v>
      </c>
      <c r="Q7" s="137" t="s">
        <v>102</v>
      </c>
      <c r="R7" s="137" t="s">
        <v>103</v>
      </c>
      <c r="S7" s="137" t="s">
        <v>104</v>
      </c>
      <c r="T7" s="137" t="s">
        <v>105</v>
      </c>
      <c r="U7" s="137" t="s">
        <v>107</v>
      </c>
      <c r="V7" s="137" t="s">
        <v>108</v>
      </c>
      <c r="W7" s="137" t="s">
        <v>109</v>
      </c>
      <c r="X7" s="137" t="s">
        <v>110</v>
      </c>
      <c r="Y7" s="137" t="s">
        <v>111</v>
      </c>
      <c r="Z7" s="137" t="s">
        <v>112</v>
      </c>
      <c r="AA7" s="137" t="s">
        <v>113</v>
      </c>
      <c r="AB7" s="137" t="s">
        <v>114</v>
      </c>
      <c r="AC7" s="137" t="s">
        <v>115</v>
      </c>
      <c r="AD7" s="137" t="s">
        <v>116</v>
      </c>
      <c r="AE7" s="137" t="s">
        <v>117</v>
      </c>
      <c r="AF7" s="137" t="s">
        <v>118</v>
      </c>
      <c r="AG7" s="137" t="s">
        <v>119</v>
      </c>
      <c r="AH7" s="137" t="s">
        <v>120</v>
      </c>
      <c r="AI7" s="137" t="s">
        <v>197</v>
      </c>
      <c r="AJ7" s="137" t="s">
        <v>272</v>
      </c>
      <c r="AK7" s="137" t="s">
        <v>275</v>
      </c>
      <c r="AL7" s="137" t="s">
        <v>278</v>
      </c>
      <c r="AM7" s="137" t="s">
        <v>281</v>
      </c>
      <c r="AN7" s="137" t="s">
        <v>284</v>
      </c>
      <c r="AO7" s="137" t="s">
        <v>287</v>
      </c>
      <c r="AP7" s="137" t="s">
        <v>290</v>
      </c>
      <c r="AQ7" s="137" t="s">
        <v>293</v>
      </c>
      <c r="AR7" s="137" t="s">
        <v>296</v>
      </c>
      <c r="AS7" s="137" t="s">
        <v>299</v>
      </c>
      <c r="AT7" s="137" t="s">
        <v>302</v>
      </c>
      <c r="AU7" s="137" t="s">
        <v>305</v>
      </c>
      <c r="AV7" s="137" t="s">
        <v>308</v>
      </c>
      <c r="AW7" s="137" t="s">
        <v>311</v>
      </c>
      <c r="AX7" s="137" t="s">
        <v>314</v>
      </c>
      <c r="AY7" s="137" t="s">
        <v>317</v>
      </c>
      <c r="AZ7" s="137" t="s">
        <v>320</v>
      </c>
      <c r="BA7" s="137" t="s">
        <v>323</v>
      </c>
      <c r="BB7" s="137" t="s">
        <v>326</v>
      </c>
      <c r="BC7" s="137" t="s">
        <v>329</v>
      </c>
      <c r="BD7" s="137" t="s">
        <v>332</v>
      </c>
      <c r="BE7" s="137" t="s">
        <v>335</v>
      </c>
      <c r="BF7" s="137">
        <v>56</v>
      </c>
      <c r="BG7" s="137" t="s">
        <v>341</v>
      </c>
      <c r="BH7" s="137" t="s">
        <v>70</v>
      </c>
      <c r="BI7" s="137" t="s">
        <v>347</v>
      </c>
      <c r="BJ7" s="137" t="s">
        <v>350</v>
      </c>
      <c r="BK7" s="137" t="s">
        <v>353</v>
      </c>
      <c r="BL7" s="137" t="s">
        <v>683</v>
      </c>
      <c r="BM7" s="137" t="s">
        <v>684</v>
      </c>
      <c r="BN7" s="137">
        <v>64</v>
      </c>
      <c r="BO7" s="137" t="s">
        <v>365</v>
      </c>
      <c r="BP7" s="137" t="s">
        <v>196</v>
      </c>
      <c r="BQ7" s="137">
        <v>67</v>
      </c>
      <c r="BR7" s="137">
        <v>68</v>
      </c>
      <c r="BS7" s="137">
        <v>69</v>
      </c>
      <c r="BT7" s="137">
        <v>70</v>
      </c>
      <c r="BU7" s="137">
        <v>71</v>
      </c>
      <c r="BV7" s="137" t="s">
        <v>385</v>
      </c>
      <c r="BW7" s="137" t="s">
        <v>520</v>
      </c>
      <c r="BX7" s="137" t="s">
        <v>388</v>
      </c>
      <c r="BY7" s="137" t="s">
        <v>685</v>
      </c>
      <c r="BZ7" s="137" t="s">
        <v>394</v>
      </c>
      <c r="CA7" s="137" t="s">
        <v>397</v>
      </c>
      <c r="CB7" s="137" t="s">
        <v>400</v>
      </c>
      <c r="CC7" s="137" t="s">
        <v>403</v>
      </c>
      <c r="CD7" s="137" t="s">
        <v>686</v>
      </c>
      <c r="CE7" s="137" t="s">
        <v>409</v>
      </c>
      <c r="CF7" s="137" t="s">
        <v>412</v>
      </c>
      <c r="CG7" s="137" t="s">
        <v>415</v>
      </c>
      <c r="CH7" s="137" t="s">
        <v>417</v>
      </c>
      <c r="CI7" s="137" t="s">
        <v>687</v>
      </c>
      <c r="CJ7" s="137">
        <v>0</v>
      </c>
    </row>
    <row r="8" spans="1:88" ht="108">
      <c r="A8" s="161" t="s">
        <v>861</v>
      </c>
      <c r="B8" s="137" t="s">
        <v>754</v>
      </c>
      <c r="C8" s="137">
        <v>6</v>
      </c>
      <c r="D8" s="137" t="s">
        <v>563</v>
      </c>
      <c r="E8" s="137" t="s">
        <v>561</v>
      </c>
      <c r="F8" s="137" t="s">
        <v>553</v>
      </c>
      <c r="G8" s="160" t="s">
        <v>688</v>
      </c>
      <c r="H8" s="137" t="s">
        <v>528</v>
      </c>
      <c r="I8" s="137" t="s">
        <v>521</v>
      </c>
      <c r="J8" s="137">
        <v>8</v>
      </c>
      <c r="K8" s="137">
        <v>9</v>
      </c>
      <c r="L8" s="137">
        <v>10</v>
      </c>
      <c r="M8" s="137">
        <v>11</v>
      </c>
      <c r="N8" s="137">
        <v>12</v>
      </c>
      <c r="O8" s="137">
        <v>13</v>
      </c>
      <c r="P8" s="137" t="s">
        <v>101</v>
      </c>
      <c r="Q8" s="137" t="s">
        <v>102</v>
      </c>
      <c r="R8" s="137" t="s">
        <v>103</v>
      </c>
      <c r="S8" s="137" t="s">
        <v>104</v>
      </c>
      <c r="T8" s="137" t="s">
        <v>105</v>
      </c>
      <c r="U8" s="137" t="s">
        <v>107</v>
      </c>
      <c r="V8" s="137" t="s">
        <v>108</v>
      </c>
      <c r="W8" s="137" t="s">
        <v>109</v>
      </c>
      <c r="X8" s="137" t="s">
        <v>110</v>
      </c>
      <c r="Y8" s="137" t="s">
        <v>111</v>
      </c>
      <c r="Z8" s="137" t="s">
        <v>112</v>
      </c>
      <c r="AA8" s="137" t="s">
        <v>113</v>
      </c>
      <c r="AB8" s="137" t="s">
        <v>114</v>
      </c>
      <c r="AC8" s="137" t="s">
        <v>115</v>
      </c>
      <c r="AD8" s="137" t="s">
        <v>116</v>
      </c>
      <c r="AE8" s="137" t="s">
        <v>117</v>
      </c>
      <c r="AF8" s="137" t="s">
        <v>118</v>
      </c>
      <c r="AG8" s="137" t="s">
        <v>119</v>
      </c>
      <c r="AH8" s="137" t="s">
        <v>120</v>
      </c>
      <c r="AI8" s="137" t="s">
        <v>197</v>
      </c>
      <c r="AJ8" s="137" t="s">
        <v>272</v>
      </c>
      <c r="AK8" s="137" t="s">
        <v>275</v>
      </c>
      <c r="AL8" s="137" t="s">
        <v>278</v>
      </c>
      <c r="AM8" s="137" t="s">
        <v>281</v>
      </c>
      <c r="AN8" s="137" t="s">
        <v>284</v>
      </c>
      <c r="AO8" s="137" t="s">
        <v>287</v>
      </c>
      <c r="AP8" s="137" t="s">
        <v>290</v>
      </c>
      <c r="AQ8" s="137" t="s">
        <v>293</v>
      </c>
      <c r="AR8" s="137" t="s">
        <v>296</v>
      </c>
      <c r="AS8" s="137" t="s">
        <v>299</v>
      </c>
      <c r="AT8" s="137" t="s">
        <v>302</v>
      </c>
      <c r="AU8" s="137" t="s">
        <v>305</v>
      </c>
      <c r="AV8" s="137" t="s">
        <v>308</v>
      </c>
      <c r="AW8" s="137" t="s">
        <v>311</v>
      </c>
      <c r="AX8" s="137" t="s">
        <v>314</v>
      </c>
      <c r="AY8" s="137" t="s">
        <v>317</v>
      </c>
      <c r="AZ8" s="137" t="s">
        <v>320</v>
      </c>
      <c r="BA8" s="137" t="s">
        <v>323</v>
      </c>
      <c r="BB8" s="137" t="s">
        <v>326</v>
      </c>
      <c r="BC8" s="137" t="s">
        <v>329</v>
      </c>
      <c r="BD8" s="137" t="s">
        <v>332</v>
      </c>
      <c r="BE8" s="137" t="s">
        <v>335</v>
      </c>
      <c r="BF8" s="137">
        <v>56</v>
      </c>
      <c r="BG8" s="137" t="s">
        <v>341</v>
      </c>
      <c r="BH8" s="137" t="s">
        <v>70</v>
      </c>
      <c r="BI8" s="137" t="s">
        <v>347</v>
      </c>
      <c r="BJ8" s="137" t="s">
        <v>350</v>
      </c>
      <c r="BK8" s="137" t="s">
        <v>353</v>
      </c>
      <c r="BL8" s="137" t="s">
        <v>683</v>
      </c>
      <c r="BM8" s="137" t="s">
        <v>684</v>
      </c>
      <c r="BN8" s="137">
        <v>64</v>
      </c>
      <c r="BO8" s="137" t="s">
        <v>365</v>
      </c>
      <c r="BP8" s="137" t="s">
        <v>196</v>
      </c>
      <c r="BQ8" s="137">
        <v>67</v>
      </c>
      <c r="BR8" s="137">
        <v>68</v>
      </c>
      <c r="BS8" s="137">
        <v>69</v>
      </c>
      <c r="BT8" s="137">
        <v>70</v>
      </c>
      <c r="BU8" s="137">
        <v>71</v>
      </c>
      <c r="BV8" s="137" t="s">
        <v>385</v>
      </c>
      <c r="BW8" s="137" t="s">
        <v>520</v>
      </c>
      <c r="BX8" s="137" t="s">
        <v>388</v>
      </c>
      <c r="BY8" s="137" t="s">
        <v>685</v>
      </c>
      <c r="BZ8" s="137" t="s">
        <v>394</v>
      </c>
      <c r="CA8" s="137" t="s">
        <v>397</v>
      </c>
      <c r="CB8" s="137" t="s">
        <v>400</v>
      </c>
      <c r="CC8" s="137" t="s">
        <v>403</v>
      </c>
      <c r="CD8" s="137" t="s">
        <v>686</v>
      </c>
      <c r="CE8" s="137" t="s">
        <v>409</v>
      </c>
      <c r="CF8" s="137" t="s">
        <v>412</v>
      </c>
      <c r="CG8" s="137" t="s">
        <v>415</v>
      </c>
      <c r="CH8" s="137" t="s">
        <v>417</v>
      </c>
      <c r="CI8" s="137" t="s">
        <v>687</v>
      </c>
      <c r="CJ8" s="137">
        <v>0</v>
      </c>
    </row>
    <row r="9" spans="1:88" ht="67.5">
      <c r="A9" s="161" t="s">
        <v>781</v>
      </c>
      <c r="B9" s="137" t="s">
        <v>754</v>
      </c>
      <c r="C9" s="137">
        <v>7</v>
      </c>
      <c r="D9" s="137" t="s">
        <v>563</v>
      </c>
      <c r="E9" s="137" t="s">
        <v>561</v>
      </c>
      <c r="F9" s="160" t="s">
        <v>690</v>
      </c>
      <c r="G9" s="137" t="s">
        <v>689</v>
      </c>
      <c r="H9" s="137" t="s">
        <v>528</v>
      </c>
      <c r="I9" s="137" t="s">
        <v>521</v>
      </c>
      <c r="J9" s="137">
        <v>8</v>
      </c>
      <c r="K9" s="137">
        <v>9</v>
      </c>
      <c r="L9" s="137">
        <v>10</v>
      </c>
      <c r="M9" s="137">
        <v>11</v>
      </c>
      <c r="N9" s="137">
        <v>12</v>
      </c>
      <c r="O9" s="137">
        <v>13</v>
      </c>
      <c r="P9" s="137" t="s">
        <v>101</v>
      </c>
      <c r="Q9" s="137" t="s">
        <v>102</v>
      </c>
      <c r="R9" s="137" t="s">
        <v>103</v>
      </c>
      <c r="S9" s="137" t="s">
        <v>104</v>
      </c>
      <c r="T9" s="137" t="s">
        <v>105</v>
      </c>
      <c r="U9" s="137" t="s">
        <v>107</v>
      </c>
      <c r="V9" s="137" t="s">
        <v>108</v>
      </c>
      <c r="W9" s="137" t="s">
        <v>109</v>
      </c>
      <c r="X9" s="137" t="s">
        <v>110</v>
      </c>
      <c r="Y9" s="137" t="s">
        <v>111</v>
      </c>
      <c r="Z9" s="137" t="s">
        <v>112</v>
      </c>
      <c r="AA9" s="137" t="s">
        <v>113</v>
      </c>
      <c r="AB9" s="137" t="s">
        <v>114</v>
      </c>
      <c r="AC9" s="137" t="s">
        <v>115</v>
      </c>
      <c r="AD9" s="137" t="s">
        <v>116</v>
      </c>
      <c r="AE9" s="137" t="s">
        <v>117</v>
      </c>
      <c r="AF9" s="137" t="s">
        <v>118</v>
      </c>
      <c r="AG9" s="137" t="s">
        <v>119</v>
      </c>
      <c r="AH9" s="137" t="s">
        <v>120</v>
      </c>
      <c r="AI9" s="137" t="s">
        <v>197</v>
      </c>
      <c r="AJ9" s="137" t="s">
        <v>272</v>
      </c>
      <c r="AK9" s="137" t="s">
        <v>275</v>
      </c>
      <c r="AL9" s="137" t="s">
        <v>278</v>
      </c>
      <c r="AM9" s="137" t="s">
        <v>281</v>
      </c>
      <c r="AN9" s="137" t="s">
        <v>284</v>
      </c>
      <c r="AO9" s="137" t="s">
        <v>287</v>
      </c>
      <c r="AP9" s="137" t="s">
        <v>290</v>
      </c>
      <c r="AQ9" s="137" t="s">
        <v>293</v>
      </c>
      <c r="AR9" s="137" t="s">
        <v>296</v>
      </c>
      <c r="AS9" s="137" t="s">
        <v>299</v>
      </c>
      <c r="AT9" s="137" t="s">
        <v>302</v>
      </c>
      <c r="AU9" s="137" t="s">
        <v>305</v>
      </c>
      <c r="AV9" s="137" t="s">
        <v>308</v>
      </c>
      <c r="AW9" s="137" t="s">
        <v>311</v>
      </c>
      <c r="AX9" s="137" t="s">
        <v>314</v>
      </c>
      <c r="AY9" s="137" t="s">
        <v>317</v>
      </c>
      <c r="AZ9" s="137" t="s">
        <v>320</v>
      </c>
      <c r="BA9" s="137" t="s">
        <v>323</v>
      </c>
      <c r="BB9" s="137" t="s">
        <v>326</v>
      </c>
      <c r="BC9" s="137" t="s">
        <v>329</v>
      </c>
      <c r="BD9" s="137" t="s">
        <v>332</v>
      </c>
      <c r="BE9" s="137" t="s">
        <v>335</v>
      </c>
      <c r="BF9" s="137">
        <v>56</v>
      </c>
      <c r="BG9" s="137" t="s">
        <v>341</v>
      </c>
      <c r="BH9" s="137" t="s">
        <v>70</v>
      </c>
      <c r="BI9" s="137" t="s">
        <v>347</v>
      </c>
      <c r="BJ9" s="137" t="s">
        <v>350</v>
      </c>
      <c r="BK9" s="137" t="s">
        <v>353</v>
      </c>
      <c r="BL9" s="137" t="s">
        <v>683</v>
      </c>
      <c r="BM9" s="137" t="s">
        <v>684</v>
      </c>
      <c r="BN9" s="137">
        <v>64</v>
      </c>
      <c r="BO9" s="137" t="s">
        <v>365</v>
      </c>
      <c r="BP9" s="137" t="s">
        <v>196</v>
      </c>
      <c r="BQ9" s="137">
        <v>67</v>
      </c>
      <c r="BR9" s="137">
        <v>68</v>
      </c>
      <c r="BS9" s="137">
        <v>69</v>
      </c>
      <c r="BT9" s="137">
        <v>70</v>
      </c>
      <c r="BU9" s="137">
        <v>71</v>
      </c>
      <c r="BV9" s="137" t="s">
        <v>385</v>
      </c>
      <c r="BW9" s="137" t="s">
        <v>520</v>
      </c>
      <c r="BX9" s="137" t="s">
        <v>388</v>
      </c>
      <c r="BY9" s="137" t="s">
        <v>685</v>
      </c>
      <c r="BZ9" s="137" t="s">
        <v>394</v>
      </c>
      <c r="CA9" s="137" t="s">
        <v>397</v>
      </c>
      <c r="CB9" s="137" t="s">
        <v>400</v>
      </c>
      <c r="CC9" s="137" t="s">
        <v>403</v>
      </c>
      <c r="CD9" s="137" t="s">
        <v>686</v>
      </c>
      <c r="CE9" s="137" t="s">
        <v>409</v>
      </c>
      <c r="CF9" s="137" t="s">
        <v>412</v>
      </c>
      <c r="CG9" s="137" t="s">
        <v>415</v>
      </c>
      <c r="CH9" s="137" t="s">
        <v>417</v>
      </c>
      <c r="CI9" s="137" t="s">
        <v>687</v>
      </c>
      <c r="CJ9" s="137">
        <v>0</v>
      </c>
    </row>
    <row r="10" spans="1:88" ht="40.5">
      <c r="A10" s="161" t="s">
        <v>993</v>
      </c>
      <c r="B10" s="137" t="s">
        <v>754</v>
      </c>
      <c r="C10" s="137" t="s">
        <v>991</v>
      </c>
      <c r="D10" s="137" t="s">
        <v>563</v>
      </c>
      <c r="E10" s="137" t="s">
        <v>561</v>
      </c>
      <c r="F10" s="137" t="s">
        <v>553</v>
      </c>
      <c r="G10" s="137" t="s">
        <v>689</v>
      </c>
      <c r="H10" s="137" t="s">
        <v>528</v>
      </c>
      <c r="I10" s="137" t="s">
        <v>521</v>
      </c>
      <c r="J10" s="137">
        <v>8</v>
      </c>
      <c r="K10" s="137">
        <v>9</v>
      </c>
      <c r="L10" s="137">
        <v>10</v>
      </c>
      <c r="M10" s="137">
        <v>11</v>
      </c>
      <c r="N10" s="137">
        <v>12</v>
      </c>
      <c r="O10" s="137">
        <v>13</v>
      </c>
      <c r="P10" s="137" t="s">
        <v>101</v>
      </c>
      <c r="Q10" s="137" t="s">
        <v>102</v>
      </c>
      <c r="R10" s="137" t="s">
        <v>103</v>
      </c>
      <c r="S10" s="137" t="s">
        <v>104</v>
      </c>
      <c r="T10" s="137" t="s">
        <v>105</v>
      </c>
      <c r="U10" s="137" t="s">
        <v>107</v>
      </c>
      <c r="V10" s="137" t="s">
        <v>108</v>
      </c>
      <c r="W10" s="137" t="s">
        <v>109</v>
      </c>
      <c r="X10" s="137" t="s">
        <v>110</v>
      </c>
      <c r="Y10" s="137" t="s">
        <v>111</v>
      </c>
      <c r="Z10" s="137" t="s">
        <v>112</v>
      </c>
      <c r="AA10" s="137" t="s">
        <v>113</v>
      </c>
      <c r="AB10" s="137" t="s">
        <v>114</v>
      </c>
      <c r="AC10" s="137" t="s">
        <v>115</v>
      </c>
      <c r="AD10" s="137" t="s">
        <v>116</v>
      </c>
      <c r="AE10" s="137" t="s">
        <v>117</v>
      </c>
      <c r="AF10" s="137" t="s">
        <v>118</v>
      </c>
      <c r="AG10" s="137" t="s">
        <v>119</v>
      </c>
      <c r="AH10" s="137" t="s">
        <v>120</v>
      </c>
      <c r="AI10" s="137" t="s">
        <v>197</v>
      </c>
      <c r="AJ10" s="137" t="s">
        <v>272</v>
      </c>
      <c r="AK10" s="137" t="s">
        <v>275</v>
      </c>
      <c r="AL10" s="137" t="s">
        <v>278</v>
      </c>
      <c r="AM10" s="137" t="s">
        <v>281</v>
      </c>
      <c r="AN10" s="137" t="s">
        <v>284</v>
      </c>
      <c r="AO10" s="137" t="s">
        <v>287</v>
      </c>
      <c r="AP10" s="137" t="s">
        <v>290</v>
      </c>
      <c r="AQ10" s="137" t="s">
        <v>293</v>
      </c>
      <c r="AR10" s="137" t="s">
        <v>296</v>
      </c>
      <c r="AS10" s="137" t="s">
        <v>299</v>
      </c>
      <c r="AT10" s="137" t="s">
        <v>302</v>
      </c>
      <c r="AU10" s="137" t="s">
        <v>305</v>
      </c>
      <c r="AV10" s="137" t="s">
        <v>308</v>
      </c>
      <c r="AW10" s="137" t="s">
        <v>311</v>
      </c>
      <c r="AX10" s="137" t="s">
        <v>314</v>
      </c>
      <c r="AY10" s="137" t="s">
        <v>317</v>
      </c>
      <c r="AZ10" s="137" t="s">
        <v>320</v>
      </c>
      <c r="BA10" s="137" t="s">
        <v>323</v>
      </c>
      <c r="BB10" s="137" t="s">
        <v>326</v>
      </c>
      <c r="BC10" s="137" t="s">
        <v>329</v>
      </c>
      <c r="BD10" s="137" t="s">
        <v>332</v>
      </c>
      <c r="BE10" s="137" t="s">
        <v>335</v>
      </c>
      <c r="BF10" s="137">
        <v>56</v>
      </c>
      <c r="BG10" s="137" t="s">
        <v>341</v>
      </c>
      <c r="BH10" s="137" t="s">
        <v>70</v>
      </c>
      <c r="BI10" s="137" t="s">
        <v>347</v>
      </c>
      <c r="BJ10" s="137" t="s">
        <v>350</v>
      </c>
      <c r="BK10" s="137" t="s">
        <v>353</v>
      </c>
      <c r="BL10" s="137" t="s">
        <v>683</v>
      </c>
      <c r="BM10" s="137" t="s">
        <v>684</v>
      </c>
      <c r="BN10" s="137">
        <v>64</v>
      </c>
      <c r="BO10" s="137" t="s">
        <v>365</v>
      </c>
      <c r="BP10" s="137" t="s">
        <v>196</v>
      </c>
      <c r="BQ10" s="137">
        <v>67</v>
      </c>
      <c r="BR10" s="137">
        <v>68</v>
      </c>
      <c r="BS10" s="137">
        <v>69</v>
      </c>
      <c r="BT10" s="137">
        <v>70</v>
      </c>
      <c r="BU10" s="137">
        <v>71</v>
      </c>
      <c r="BV10" s="137" t="s">
        <v>385</v>
      </c>
      <c r="BW10" s="160" t="s">
        <v>992</v>
      </c>
      <c r="BX10" s="137" t="s">
        <v>388</v>
      </c>
      <c r="BY10" s="137" t="s">
        <v>685</v>
      </c>
      <c r="BZ10" s="137" t="s">
        <v>394</v>
      </c>
      <c r="CA10" s="137" t="s">
        <v>397</v>
      </c>
      <c r="CB10" s="137" t="s">
        <v>400</v>
      </c>
      <c r="CC10" s="137" t="s">
        <v>403</v>
      </c>
      <c r="CD10" s="137" t="s">
        <v>686</v>
      </c>
      <c r="CE10" s="137" t="s">
        <v>409</v>
      </c>
      <c r="CF10" s="137" t="s">
        <v>412</v>
      </c>
      <c r="CG10" s="137" t="s">
        <v>415</v>
      </c>
      <c r="CH10" s="137" t="s">
        <v>417</v>
      </c>
      <c r="CI10" s="137" t="s">
        <v>687</v>
      </c>
      <c r="CJ10" s="137">
        <v>0</v>
      </c>
    </row>
  </sheetData>
  <phoneticPr fontId="27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X10"/>
  <sheetViews>
    <sheetView workbookViewId="0">
      <pane ySplit="1" topLeftCell="A2" activePane="bottomLeft" state="frozen"/>
      <selection pane="bottomLeft" activeCell="A10" sqref="A10"/>
    </sheetView>
  </sheetViews>
  <sheetFormatPr defaultRowHeight="13.5"/>
  <cols>
    <col min="1" max="1" width="54.25" style="134" customWidth="1"/>
    <col min="2" max="2" width="10.875" style="134" bestFit="1" customWidth="1"/>
    <col min="3" max="3" width="10" style="134" bestFit="1" customWidth="1"/>
    <col min="4" max="5" width="11.625" style="134" bestFit="1" customWidth="1"/>
    <col min="6" max="6" width="6.125" style="134" bestFit="1" customWidth="1"/>
    <col min="7" max="7" width="9.875" style="134" bestFit="1" customWidth="1"/>
    <col min="8" max="8" width="13.625" style="134" bestFit="1" customWidth="1"/>
    <col min="9" max="9" width="21.125" style="134" bestFit="1" customWidth="1"/>
    <col min="10" max="10" width="17.5" style="134" bestFit="1" customWidth="1"/>
    <col min="11" max="11" width="6.25" style="134" bestFit="1" customWidth="1"/>
    <col min="12" max="12" width="11.625" style="134" bestFit="1" customWidth="1"/>
    <col min="13" max="13" width="19.875" style="134" bestFit="1" customWidth="1"/>
    <col min="14" max="14" width="16.625" style="134" bestFit="1" customWidth="1"/>
    <col min="15" max="15" width="18.75" style="134" bestFit="1" customWidth="1"/>
    <col min="16" max="16" width="10" style="134" bestFit="1" customWidth="1"/>
    <col min="17" max="17" width="10.5" style="134" bestFit="1" customWidth="1"/>
    <col min="18" max="18" width="19.875" style="134" bestFit="1" customWidth="1"/>
    <col min="19" max="19" width="15.5" style="134" bestFit="1" customWidth="1"/>
    <col min="20" max="20" width="17.625" style="134" bestFit="1" customWidth="1"/>
    <col min="21" max="21" width="9" style="134"/>
    <col min="22" max="22" width="7.75" style="134" bestFit="1" customWidth="1"/>
    <col min="23" max="23" width="19.875" style="134" bestFit="1" customWidth="1"/>
    <col min="24" max="24" width="7.375" style="134" bestFit="1" customWidth="1"/>
    <col min="25" max="16384" width="9" style="134"/>
  </cols>
  <sheetData>
    <row r="1" spans="1:24">
      <c r="A1" s="135" t="s">
        <v>126</v>
      </c>
      <c r="B1" s="135" t="s">
        <v>127</v>
      </c>
      <c r="C1" s="151" t="s">
        <v>186</v>
      </c>
      <c r="D1" s="151" t="s">
        <v>534</v>
      </c>
      <c r="E1" s="152" t="s">
        <v>535</v>
      </c>
      <c r="F1" s="152" t="s">
        <v>141</v>
      </c>
      <c r="G1" s="152" t="s">
        <v>133</v>
      </c>
      <c r="H1" s="152" t="s">
        <v>134</v>
      </c>
      <c r="I1" s="152" t="s">
        <v>691</v>
      </c>
      <c r="J1" s="152" t="s">
        <v>188</v>
      </c>
      <c r="K1" s="152" t="s">
        <v>157</v>
      </c>
      <c r="L1" s="152" t="s">
        <v>158</v>
      </c>
      <c r="M1" s="152" t="s">
        <v>159</v>
      </c>
      <c r="N1" s="152" t="s">
        <v>160</v>
      </c>
      <c r="O1" s="152" t="s">
        <v>161</v>
      </c>
      <c r="P1" s="152" t="s">
        <v>162</v>
      </c>
      <c r="Q1" s="152" t="s">
        <v>163</v>
      </c>
      <c r="R1" s="152" t="s">
        <v>164</v>
      </c>
      <c r="S1" s="152" t="s">
        <v>165</v>
      </c>
      <c r="T1" s="152" t="s">
        <v>166</v>
      </c>
      <c r="U1" s="152" t="s">
        <v>167</v>
      </c>
      <c r="V1" s="152" t="s">
        <v>168</v>
      </c>
      <c r="W1" s="152" t="s">
        <v>189</v>
      </c>
      <c r="X1" s="152" t="s">
        <v>169</v>
      </c>
    </row>
    <row r="2" spans="1:24" ht="135">
      <c r="A2" s="162" t="s">
        <v>862</v>
      </c>
      <c r="B2" s="137" t="s">
        <v>754</v>
      </c>
      <c r="C2" s="137" t="s">
        <v>565</v>
      </c>
      <c r="D2" s="137" t="s">
        <v>564</v>
      </c>
      <c r="E2" s="160" t="s">
        <v>560</v>
      </c>
      <c r="F2" s="137" t="s">
        <v>553</v>
      </c>
      <c r="G2" s="137" t="s">
        <v>595</v>
      </c>
      <c r="H2" s="137" t="s">
        <v>528</v>
      </c>
      <c r="I2" s="137" t="s">
        <v>695</v>
      </c>
      <c r="J2" s="137">
        <v>8</v>
      </c>
      <c r="K2" s="137" t="s">
        <v>520</v>
      </c>
      <c r="L2" s="137" t="s">
        <v>523</v>
      </c>
      <c r="M2" s="137" t="s">
        <v>692</v>
      </c>
      <c r="N2" s="137" t="s">
        <v>98</v>
      </c>
      <c r="O2" s="137" t="s">
        <v>99</v>
      </c>
      <c r="P2" s="137" t="s">
        <v>100</v>
      </c>
      <c r="Q2" s="137" t="s">
        <v>101</v>
      </c>
      <c r="R2" s="137" t="s">
        <v>693</v>
      </c>
      <c r="S2" s="137" t="s">
        <v>103</v>
      </c>
      <c r="T2" s="137" t="s">
        <v>104</v>
      </c>
      <c r="U2" s="137" t="s">
        <v>105</v>
      </c>
      <c r="V2" s="137" t="s">
        <v>107</v>
      </c>
      <c r="W2" s="137" t="s">
        <v>592</v>
      </c>
      <c r="X2" s="137">
        <v>0</v>
      </c>
    </row>
    <row r="3" spans="1:24" ht="94.5">
      <c r="A3" s="162" t="s">
        <v>782</v>
      </c>
      <c r="B3" s="137" t="s">
        <v>754</v>
      </c>
      <c r="C3" s="137" t="s">
        <v>516</v>
      </c>
      <c r="D3" s="160" t="s">
        <v>560</v>
      </c>
      <c r="E3" s="137" t="s">
        <v>562</v>
      </c>
      <c r="F3" s="137" t="s">
        <v>553</v>
      </c>
      <c r="G3" s="137" t="s">
        <v>595</v>
      </c>
      <c r="H3" s="137" t="s">
        <v>528</v>
      </c>
      <c r="I3" s="137" t="s">
        <v>695</v>
      </c>
      <c r="J3" s="137">
        <v>8</v>
      </c>
      <c r="K3" s="137" t="s">
        <v>520</v>
      </c>
      <c r="L3" s="137" t="s">
        <v>523</v>
      </c>
      <c r="M3" s="137" t="s">
        <v>692</v>
      </c>
      <c r="N3" s="137" t="s">
        <v>98</v>
      </c>
      <c r="O3" s="137" t="s">
        <v>99</v>
      </c>
      <c r="P3" s="137" t="s">
        <v>100</v>
      </c>
      <c r="Q3" s="137" t="s">
        <v>101</v>
      </c>
      <c r="R3" s="137" t="s">
        <v>693</v>
      </c>
      <c r="S3" s="137" t="s">
        <v>103</v>
      </c>
      <c r="T3" s="137" t="s">
        <v>104</v>
      </c>
      <c r="U3" s="137" t="s">
        <v>105</v>
      </c>
      <c r="V3" s="137" t="s">
        <v>107</v>
      </c>
      <c r="W3" s="137" t="s">
        <v>592</v>
      </c>
      <c r="X3" s="137">
        <v>0</v>
      </c>
    </row>
    <row r="4" spans="1:24" ht="94.5">
      <c r="A4" s="161" t="s">
        <v>783</v>
      </c>
      <c r="B4" s="137" t="s">
        <v>754</v>
      </c>
      <c r="C4" s="137" t="s">
        <v>604</v>
      </c>
      <c r="D4" s="137" t="s">
        <v>563</v>
      </c>
      <c r="E4" s="160" t="s">
        <v>564</v>
      </c>
      <c r="F4" s="137" t="s">
        <v>553</v>
      </c>
      <c r="G4" s="137" t="s">
        <v>604</v>
      </c>
      <c r="H4" s="137" t="s">
        <v>528</v>
      </c>
      <c r="I4" s="137" t="s">
        <v>520</v>
      </c>
      <c r="J4" s="137">
        <v>8</v>
      </c>
      <c r="K4" s="137" t="s">
        <v>520</v>
      </c>
      <c r="L4" s="137" t="s">
        <v>523</v>
      </c>
      <c r="M4" s="137" t="s">
        <v>692</v>
      </c>
      <c r="N4" s="137" t="s">
        <v>98</v>
      </c>
      <c r="O4" s="137" t="s">
        <v>99</v>
      </c>
      <c r="P4" s="137" t="s">
        <v>100</v>
      </c>
      <c r="Q4" s="137" t="s">
        <v>101</v>
      </c>
      <c r="R4" s="137" t="s">
        <v>693</v>
      </c>
      <c r="S4" s="137" t="s">
        <v>103</v>
      </c>
      <c r="T4" s="137" t="s">
        <v>104</v>
      </c>
      <c r="U4" s="137" t="s">
        <v>105</v>
      </c>
      <c r="V4" s="137" t="s">
        <v>107</v>
      </c>
      <c r="W4" s="137" t="s">
        <v>592</v>
      </c>
      <c r="X4" s="137">
        <v>0</v>
      </c>
    </row>
    <row r="5" spans="1:24" ht="94.5">
      <c r="A5" s="161" t="s">
        <v>784</v>
      </c>
      <c r="B5" s="137" t="s">
        <v>754</v>
      </c>
      <c r="C5" s="137" t="s">
        <v>553</v>
      </c>
      <c r="D5" s="160" t="s">
        <v>562</v>
      </c>
      <c r="E5" s="137" t="s">
        <v>562</v>
      </c>
      <c r="F5" s="137" t="s">
        <v>553</v>
      </c>
      <c r="G5" s="137" t="s">
        <v>604</v>
      </c>
      <c r="H5" s="137" t="s">
        <v>528</v>
      </c>
      <c r="I5" s="137" t="s">
        <v>520</v>
      </c>
      <c r="J5" s="137">
        <v>8</v>
      </c>
      <c r="K5" s="137" t="s">
        <v>520</v>
      </c>
      <c r="L5" s="137" t="s">
        <v>523</v>
      </c>
      <c r="M5" s="137" t="s">
        <v>692</v>
      </c>
      <c r="N5" s="137" t="s">
        <v>98</v>
      </c>
      <c r="O5" s="137" t="s">
        <v>99</v>
      </c>
      <c r="P5" s="137" t="s">
        <v>100</v>
      </c>
      <c r="Q5" s="137" t="s">
        <v>101</v>
      </c>
      <c r="R5" s="137" t="s">
        <v>693</v>
      </c>
      <c r="S5" s="137" t="s">
        <v>103</v>
      </c>
      <c r="T5" s="137" t="s">
        <v>104</v>
      </c>
      <c r="U5" s="137" t="s">
        <v>105</v>
      </c>
      <c r="V5" s="137" t="s">
        <v>107</v>
      </c>
      <c r="W5" s="137" t="s">
        <v>592</v>
      </c>
      <c r="X5" s="137">
        <v>0</v>
      </c>
    </row>
    <row r="6" spans="1:24" ht="27">
      <c r="A6" s="162" t="s">
        <v>757</v>
      </c>
      <c r="B6" s="137" t="s">
        <v>754</v>
      </c>
      <c r="C6" s="137" t="s">
        <v>518</v>
      </c>
      <c r="D6" s="160" t="s">
        <v>753</v>
      </c>
      <c r="E6" s="160" t="s">
        <v>560</v>
      </c>
      <c r="F6" s="137" t="s">
        <v>553</v>
      </c>
      <c r="G6" s="137" t="s">
        <v>604</v>
      </c>
      <c r="H6" s="137" t="s">
        <v>528</v>
      </c>
      <c r="I6" s="137" t="s">
        <v>520</v>
      </c>
      <c r="J6" s="137">
        <v>8</v>
      </c>
      <c r="K6" s="137" t="s">
        <v>520</v>
      </c>
      <c r="L6" s="137" t="s">
        <v>523</v>
      </c>
      <c r="M6" s="137" t="s">
        <v>692</v>
      </c>
      <c r="N6" s="137" t="s">
        <v>98</v>
      </c>
      <c r="O6" s="137" t="s">
        <v>99</v>
      </c>
      <c r="P6" s="137" t="s">
        <v>100</v>
      </c>
      <c r="Q6" s="137" t="s">
        <v>101</v>
      </c>
      <c r="R6" s="137" t="s">
        <v>693</v>
      </c>
      <c r="S6" s="137" t="s">
        <v>103</v>
      </c>
      <c r="T6" s="137" t="s">
        <v>104</v>
      </c>
      <c r="U6" s="137" t="s">
        <v>105</v>
      </c>
      <c r="V6" s="137" t="s">
        <v>107</v>
      </c>
      <c r="W6" s="137" t="s">
        <v>592</v>
      </c>
      <c r="X6" s="137">
        <v>0</v>
      </c>
    </row>
    <row r="7" spans="1:24" ht="67.5">
      <c r="A7" s="161" t="s">
        <v>785</v>
      </c>
      <c r="B7" s="137" t="s">
        <v>754</v>
      </c>
      <c r="C7" s="137" t="s">
        <v>528</v>
      </c>
      <c r="D7" s="137" t="s">
        <v>563</v>
      </c>
      <c r="E7" s="137" t="s">
        <v>562</v>
      </c>
      <c r="F7" s="137" t="s">
        <v>553</v>
      </c>
      <c r="G7" s="160" t="s">
        <v>694</v>
      </c>
      <c r="H7" s="137" t="s">
        <v>528</v>
      </c>
      <c r="I7" s="137" t="s">
        <v>520</v>
      </c>
      <c r="J7" s="137">
        <v>8</v>
      </c>
      <c r="K7" s="137" t="s">
        <v>520</v>
      </c>
      <c r="L7" s="137" t="s">
        <v>523</v>
      </c>
      <c r="M7" s="137" t="s">
        <v>692</v>
      </c>
      <c r="N7" s="137" t="s">
        <v>98</v>
      </c>
      <c r="O7" s="137" t="s">
        <v>99</v>
      </c>
      <c r="P7" s="137" t="s">
        <v>100</v>
      </c>
      <c r="Q7" s="137" t="s">
        <v>101</v>
      </c>
      <c r="R7" s="137" t="s">
        <v>693</v>
      </c>
      <c r="S7" s="137" t="s">
        <v>103</v>
      </c>
      <c r="T7" s="137" t="s">
        <v>104</v>
      </c>
      <c r="U7" s="137" t="s">
        <v>105</v>
      </c>
      <c r="V7" s="137" t="s">
        <v>107</v>
      </c>
      <c r="W7" s="137" t="s">
        <v>592</v>
      </c>
      <c r="X7" s="137">
        <v>0</v>
      </c>
    </row>
    <row r="8" spans="1:24" ht="67.5">
      <c r="A8" s="161" t="s">
        <v>786</v>
      </c>
      <c r="B8" s="137" t="s">
        <v>754</v>
      </c>
      <c r="C8" s="137" t="s">
        <v>521</v>
      </c>
      <c r="D8" s="137" t="s">
        <v>563</v>
      </c>
      <c r="E8" s="137" t="s">
        <v>561</v>
      </c>
      <c r="F8" s="160" t="s">
        <v>558</v>
      </c>
      <c r="G8" s="137" t="s">
        <v>604</v>
      </c>
      <c r="H8" s="137" t="s">
        <v>528</v>
      </c>
      <c r="I8" s="137" t="s">
        <v>520</v>
      </c>
      <c r="J8" s="137">
        <v>8</v>
      </c>
      <c r="K8" s="137" t="s">
        <v>520</v>
      </c>
      <c r="L8" s="137" t="s">
        <v>523</v>
      </c>
      <c r="M8" s="137" t="s">
        <v>692</v>
      </c>
      <c r="N8" s="137" t="s">
        <v>98</v>
      </c>
      <c r="O8" s="137" t="s">
        <v>99</v>
      </c>
      <c r="P8" s="137" t="s">
        <v>100</v>
      </c>
      <c r="Q8" s="137" t="s">
        <v>101</v>
      </c>
      <c r="R8" s="137" t="s">
        <v>693</v>
      </c>
      <c r="S8" s="137" t="s">
        <v>103</v>
      </c>
      <c r="T8" s="137" t="s">
        <v>104</v>
      </c>
      <c r="U8" s="137" t="s">
        <v>105</v>
      </c>
      <c r="V8" s="137" t="s">
        <v>107</v>
      </c>
      <c r="W8" s="137" t="s">
        <v>592</v>
      </c>
      <c r="X8" s="137">
        <v>0</v>
      </c>
    </row>
    <row r="9" spans="1:24" ht="67.5">
      <c r="A9" s="161" t="s">
        <v>787</v>
      </c>
      <c r="B9" s="137" t="s">
        <v>754</v>
      </c>
      <c r="C9" s="137" t="s">
        <v>529</v>
      </c>
      <c r="D9" s="137" t="s">
        <v>563</v>
      </c>
      <c r="E9" s="137" t="s">
        <v>561</v>
      </c>
      <c r="F9" s="137" t="s">
        <v>553</v>
      </c>
      <c r="G9" s="137" t="s">
        <v>604</v>
      </c>
      <c r="H9" s="137" t="s">
        <v>528</v>
      </c>
      <c r="I9" s="160" t="s">
        <v>566</v>
      </c>
      <c r="J9" s="137">
        <v>8</v>
      </c>
      <c r="K9" s="137" t="s">
        <v>520</v>
      </c>
      <c r="L9" s="137" t="s">
        <v>523</v>
      </c>
      <c r="M9" s="137" t="s">
        <v>692</v>
      </c>
      <c r="N9" s="137" t="s">
        <v>98</v>
      </c>
      <c r="O9" s="137" t="s">
        <v>99</v>
      </c>
      <c r="P9" s="137" t="s">
        <v>100</v>
      </c>
      <c r="Q9" s="137" t="s">
        <v>101</v>
      </c>
      <c r="R9" s="137" t="s">
        <v>693</v>
      </c>
      <c r="S9" s="137" t="s">
        <v>103</v>
      </c>
      <c r="T9" s="137" t="s">
        <v>104</v>
      </c>
      <c r="U9" s="137" t="s">
        <v>105</v>
      </c>
      <c r="V9" s="137" t="s">
        <v>107</v>
      </c>
      <c r="W9" s="137" t="s">
        <v>592</v>
      </c>
      <c r="X9" s="137">
        <v>0</v>
      </c>
    </row>
    <row r="10" spans="1:24" ht="40.5">
      <c r="A10" s="161" t="s">
        <v>1024</v>
      </c>
      <c r="B10" s="137" t="s">
        <v>754</v>
      </c>
      <c r="C10" s="137" t="s">
        <v>863</v>
      </c>
      <c r="D10" s="137" t="s">
        <v>563</v>
      </c>
      <c r="E10" s="137" t="s">
        <v>561</v>
      </c>
      <c r="F10" s="137" t="s">
        <v>553</v>
      </c>
      <c r="G10" s="137" t="s">
        <v>604</v>
      </c>
      <c r="H10" s="137" t="s">
        <v>528</v>
      </c>
      <c r="I10" s="137" t="s">
        <v>520</v>
      </c>
      <c r="J10" s="137">
        <v>8</v>
      </c>
      <c r="K10" s="160" t="s">
        <v>826</v>
      </c>
      <c r="L10" s="137" t="s">
        <v>523</v>
      </c>
      <c r="M10" s="137" t="s">
        <v>692</v>
      </c>
      <c r="N10" s="137" t="s">
        <v>98</v>
      </c>
      <c r="O10" s="137" t="s">
        <v>99</v>
      </c>
      <c r="P10" s="137" t="s">
        <v>100</v>
      </c>
      <c r="Q10" s="137" t="s">
        <v>101</v>
      </c>
      <c r="R10" s="137" t="s">
        <v>693</v>
      </c>
      <c r="S10" s="137" t="s">
        <v>103</v>
      </c>
      <c r="T10" s="137" t="s">
        <v>104</v>
      </c>
      <c r="U10" s="137" t="s">
        <v>105</v>
      </c>
      <c r="V10" s="137" t="s">
        <v>107</v>
      </c>
      <c r="W10" s="137" t="s">
        <v>592</v>
      </c>
      <c r="X10" s="137">
        <v>0</v>
      </c>
    </row>
  </sheetData>
  <phoneticPr fontId="27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S5"/>
  <sheetViews>
    <sheetView workbookViewId="0">
      <pane ySplit="1" topLeftCell="A2" activePane="bottomLeft" state="frozen"/>
      <selection pane="bottomLeft" activeCell="A4" sqref="A4:A5"/>
    </sheetView>
  </sheetViews>
  <sheetFormatPr defaultRowHeight="13.5"/>
  <cols>
    <col min="1" max="1" width="52.875" style="134" customWidth="1"/>
    <col min="2" max="2" width="10.875" style="134" bestFit="1" customWidth="1"/>
    <col min="3" max="3" width="10" style="134" bestFit="1" customWidth="1"/>
    <col min="4" max="4" width="11.625" style="134" bestFit="1" customWidth="1"/>
    <col min="5" max="5" width="10.25" style="134" bestFit="1" customWidth="1"/>
    <col min="6" max="6" width="6.25" style="134" bestFit="1" customWidth="1"/>
    <col min="7" max="7" width="11.625" style="134" bestFit="1" customWidth="1"/>
    <col min="8" max="8" width="19.875" style="134" bestFit="1" customWidth="1"/>
    <col min="9" max="9" width="16.625" style="134" bestFit="1" customWidth="1"/>
    <col min="10" max="10" width="18.75" style="134" bestFit="1" customWidth="1"/>
    <col min="11" max="11" width="10" style="134" bestFit="1" customWidth="1"/>
    <col min="12" max="12" width="10.5" style="134" bestFit="1" customWidth="1"/>
    <col min="13" max="13" width="19.875" style="134" bestFit="1" customWidth="1"/>
    <col min="14" max="14" width="15.5" style="134" bestFit="1" customWidth="1"/>
    <col min="15" max="15" width="17.625" style="134" bestFit="1" customWidth="1"/>
    <col min="16" max="16" width="9" style="134"/>
    <col min="17" max="17" width="7.75" style="134" bestFit="1" customWidth="1"/>
    <col min="18" max="18" width="19.875" style="134" bestFit="1" customWidth="1"/>
    <col min="19" max="19" width="7.375" style="134" bestFit="1" customWidth="1"/>
    <col min="20" max="16384" width="9" style="134"/>
  </cols>
  <sheetData>
    <row r="1" spans="1:19">
      <c r="A1" s="135" t="s">
        <v>126</v>
      </c>
      <c r="B1" s="135" t="s">
        <v>127</v>
      </c>
      <c r="C1" s="151" t="s">
        <v>186</v>
      </c>
      <c r="D1" s="151" t="s">
        <v>696</v>
      </c>
      <c r="E1" s="152" t="s">
        <v>195</v>
      </c>
      <c r="F1" s="152" t="s">
        <v>157</v>
      </c>
      <c r="G1" s="152" t="s">
        <v>158</v>
      </c>
      <c r="H1" s="152" t="s">
        <v>159</v>
      </c>
      <c r="I1" s="152" t="s">
        <v>160</v>
      </c>
      <c r="J1" s="152" t="s">
        <v>161</v>
      </c>
      <c r="K1" s="152" t="s">
        <v>162</v>
      </c>
      <c r="L1" s="152" t="s">
        <v>163</v>
      </c>
      <c r="M1" s="152" t="s">
        <v>164</v>
      </c>
      <c r="N1" s="152" t="s">
        <v>165</v>
      </c>
      <c r="O1" s="152" t="s">
        <v>166</v>
      </c>
      <c r="P1" s="152" t="s">
        <v>167</v>
      </c>
      <c r="Q1" s="152" t="s">
        <v>168</v>
      </c>
      <c r="R1" s="152" t="s">
        <v>189</v>
      </c>
      <c r="S1" s="152" t="s">
        <v>169</v>
      </c>
    </row>
    <row r="2" spans="1:19" ht="67.5">
      <c r="A2" s="161" t="s">
        <v>788</v>
      </c>
      <c r="B2" s="137" t="s">
        <v>754</v>
      </c>
      <c r="C2" s="160" t="s">
        <v>695</v>
      </c>
      <c r="D2" s="137" t="s">
        <v>560</v>
      </c>
      <c r="E2" s="137" t="s">
        <v>604</v>
      </c>
      <c r="F2" s="137" t="s">
        <v>520</v>
      </c>
      <c r="G2" s="137" t="s">
        <v>518</v>
      </c>
      <c r="H2" s="137" t="s">
        <v>571</v>
      </c>
      <c r="I2" s="137" t="s">
        <v>521</v>
      </c>
      <c r="J2" s="137" t="s">
        <v>529</v>
      </c>
      <c r="K2" s="137" t="s">
        <v>523</v>
      </c>
      <c r="L2" s="137" t="s">
        <v>97</v>
      </c>
      <c r="M2" s="137" t="s">
        <v>572</v>
      </c>
      <c r="N2" s="137" t="s">
        <v>99</v>
      </c>
      <c r="O2" s="137" t="s">
        <v>100</v>
      </c>
      <c r="P2" s="137" t="s">
        <v>101</v>
      </c>
      <c r="Q2" s="137" t="s">
        <v>102</v>
      </c>
      <c r="R2" s="137" t="s">
        <v>573</v>
      </c>
      <c r="S2" s="137">
        <v>0</v>
      </c>
    </row>
    <row r="3" spans="1:19" ht="67.5">
      <c r="A3" s="161" t="s">
        <v>789</v>
      </c>
      <c r="B3" s="137" t="s">
        <v>754</v>
      </c>
      <c r="C3" s="137" t="s">
        <v>566</v>
      </c>
      <c r="D3" s="160" t="s">
        <v>564</v>
      </c>
      <c r="E3" s="137" t="s">
        <v>604</v>
      </c>
      <c r="F3" s="137" t="s">
        <v>520</v>
      </c>
      <c r="G3" s="137" t="s">
        <v>518</v>
      </c>
      <c r="H3" s="137" t="s">
        <v>571</v>
      </c>
      <c r="I3" s="137" t="s">
        <v>521</v>
      </c>
      <c r="J3" s="137" t="s">
        <v>529</v>
      </c>
      <c r="K3" s="137" t="s">
        <v>523</v>
      </c>
      <c r="L3" s="137" t="s">
        <v>97</v>
      </c>
      <c r="M3" s="137" t="s">
        <v>572</v>
      </c>
      <c r="N3" s="137" t="s">
        <v>99</v>
      </c>
      <c r="O3" s="137" t="s">
        <v>100</v>
      </c>
      <c r="P3" s="137" t="s">
        <v>101</v>
      </c>
      <c r="Q3" s="137" t="s">
        <v>102</v>
      </c>
      <c r="R3" s="137" t="s">
        <v>573</v>
      </c>
      <c r="S3" s="137">
        <v>0</v>
      </c>
    </row>
    <row r="4" spans="1:19" ht="40.5">
      <c r="A4" s="161" t="s">
        <v>1023</v>
      </c>
      <c r="B4" s="137"/>
      <c r="C4" s="137" t="s">
        <v>516</v>
      </c>
      <c r="D4" s="137" t="s">
        <v>559</v>
      </c>
      <c r="E4" s="137" t="s">
        <v>604</v>
      </c>
      <c r="F4" s="137" t="s">
        <v>520</v>
      </c>
      <c r="G4" s="137" t="s">
        <v>518</v>
      </c>
      <c r="H4" s="137" t="s">
        <v>571</v>
      </c>
      <c r="I4" s="137" t="s">
        <v>521</v>
      </c>
      <c r="J4" s="137" t="s">
        <v>529</v>
      </c>
      <c r="K4" s="137" t="s">
        <v>523</v>
      </c>
      <c r="L4" s="137" t="s">
        <v>97</v>
      </c>
      <c r="M4" s="137" t="s">
        <v>572</v>
      </c>
      <c r="N4" s="137" t="s">
        <v>99</v>
      </c>
      <c r="O4" s="137" t="s">
        <v>100</v>
      </c>
      <c r="P4" s="137" t="s">
        <v>101</v>
      </c>
      <c r="Q4" s="137" t="s">
        <v>102</v>
      </c>
      <c r="R4" s="137" t="s">
        <v>573</v>
      </c>
      <c r="S4" s="137">
        <v>0</v>
      </c>
    </row>
    <row r="5" spans="1:19" ht="40.5">
      <c r="A5" s="161" t="s">
        <v>864</v>
      </c>
      <c r="B5" s="137"/>
      <c r="C5" s="137" t="s">
        <v>604</v>
      </c>
      <c r="D5" s="137" t="s">
        <v>559</v>
      </c>
      <c r="E5" s="137" t="s">
        <v>604</v>
      </c>
      <c r="F5" s="160" t="s">
        <v>826</v>
      </c>
      <c r="G5" s="137" t="s">
        <v>518</v>
      </c>
      <c r="H5" s="137" t="s">
        <v>571</v>
      </c>
      <c r="I5" s="137" t="s">
        <v>521</v>
      </c>
      <c r="J5" s="137" t="s">
        <v>529</v>
      </c>
      <c r="K5" s="137" t="s">
        <v>523</v>
      </c>
      <c r="L5" s="137" t="s">
        <v>97</v>
      </c>
      <c r="M5" s="137" t="s">
        <v>572</v>
      </c>
      <c r="N5" s="137" t="s">
        <v>99</v>
      </c>
      <c r="O5" s="137" t="s">
        <v>100</v>
      </c>
      <c r="P5" s="137" t="s">
        <v>101</v>
      </c>
      <c r="Q5" s="137" t="s">
        <v>102</v>
      </c>
      <c r="R5" s="137" t="s">
        <v>573</v>
      </c>
      <c r="S5" s="137">
        <v>0</v>
      </c>
    </row>
  </sheetData>
  <phoneticPr fontId="27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Z29"/>
  <sheetViews>
    <sheetView workbookViewId="0">
      <pane ySplit="1" topLeftCell="A2" activePane="bottomLeft" state="frozen"/>
      <selection pane="bottomLeft" activeCell="D19" sqref="D19"/>
    </sheetView>
  </sheetViews>
  <sheetFormatPr defaultRowHeight="13.5"/>
  <cols>
    <col min="1" max="1" width="51.875" style="134" customWidth="1"/>
    <col min="2" max="2" width="10.875" style="134" bestFit="1" customWidth="1"/>
    <col min="3" max="3" width="7.5" style="134" bestFit="1" customWidth="1"/>
    <col min="4" max="5" width="11.625" style="134" bestFit="1" customWidth="1"/>
    <col min="6" max="6" width="8.125" style="134" bestFit="1" customWidth="1"/>
    <col min="7" max="7" width="13.125" style="134" bestFit="1" customWidth="1"/>
    <col min="8" max="8" width="8.625" style="134" bestFit="1" customWidth="1"/>
    <col min="9" max="9" width="16.25" style="134" bestFit="1" customWidth="1"/>
    <col min="10" max="10" width="15.375" style="134" bestFit="1" customWidth="1"/>
    <col min="11" max="11" width="8.75" style="134" bestFit="1" customWidth="1"/>
    <col min="12" max="12" width="18.875" style="134" bestFit="1" customWidth="1"/>
    <col min="13" max="13" width="6.25" style="134" bestFit="1" customWidth="1"/>
    <col min="14" max="14" width="11.625" style="134" bestFit="1" customWidth="1"/>
    <col min="15" max="15" width="19.875" style="134" bestFit="1" customWidth="1"/>
    <col min="16" max="16" width="16.625" style="134" bestFit="1" customWidth="1"/>
    <col min="17" max="17" width="18.75" style="134" bestFit="1" customWidth="1"/>
    <col min="18" max="18" width="10" style="134" bestFit="1" customWidth="1"/>
    <col min="19" max="19" width="10.5" style="134" bestFit="1" customWidth="1"/>
    <col min="20" max="20" width="19.875" style="134" bestFit="1" customWidth="1"/>
    <col min="21" max="21" width="15.5" style="134" bestFit="1" customWidth="1"/>
    <col min="22" max="22" width="17.625" style="134" bestFit="1" customWidth="1"/>
    <col min="23" max="23" width="9" style="134"/>
    <col min="24" max="24" width="7.75" style="134" bestFit="1" customWidth="1"/>
    <col min="25" max="25" width="19.875" style="134" bestFit="1" customWidth="1"/>
    <col min="26" max="26" width="7.375" style="134" bestFit="1" customWidth="1"/>
    <col min="27" max="16384" width="9" style="134"/>
  </cols>
  <sheetData>
    <row r="1" spans="1:26">
      <c r="A1" s="135" t="s">
        <v>126</v>
      </c>
      <c r="B1" s="135" t="s">
        <v>127</v>
      </c>
      <c r="C1" s="151" t="s">
        <v>1020</v>
      </c>
      <c r="D1" s="151" t="s">
        <v>534</v>
      </c>
      <c r="E1" s="152" t="s">
        <v>535</v>
      </c>
      <c r="F1" s="152" t="s">
        <v>129</v>
      </c>
      <c r="G1" s="152" t="s">
        <v>130</v>
      </c>
      <c r="H1" s="152" t="s">
        <v>131</v>
      </c>
      <c r="I1" s="152" t="s">
        <v>697</v>
      </c>
      <c r="J1" s="152" t="s">
        <v>698</v>
      </c>
      <c r="K1" s="152" t="s">
        <v>1021</v>
      </c>
      <c r="L1" s="152" t="s">
        <v>700</v>
      </c>
      <c r="M1" s="152" t="s">
        <v>157</v>
      </c>
      <c r="N1" s="152" t="s">
        <v>158</v>
      </c>
      <c r="O1" s="152" t="s">
        <v>159</v>
      </c>
      <c r="P1" s="152" t="s">
        <v>160</v>
      </c>
      <c r="Q1" s="152" t="s">
        <v>161</v>
      </c>
      <c r="R1" s="152" t="s">
        <v>162</v>
      </c>
      <c r="S1" s="152" t="s">
        <v>163</v>
      </c>
      <c r="T1" s="152" t="s">
        <v>164</v>
      </c>
      <c r="U1" s="152" t="s">
        <v>165</v>
      </c>
      <c r="V1" s="152" t="s">
        <v>166</v>
      </c>
      <c r="W1" s="152" t="s">
        <v>167</v>
      </c>
      <c r="X1" s="152" t="s">
        <v>168</v>
      </c>
      <c r="Y1" s="152" t="s">
        <v>189</v>
      </c>
      <c r="Z1" s="152" t="s">
        <v>169</v>
      </c>
    </row>
    <row r="2" spans="1:26" ht="135">
      <c r="A2" s="162" t="s">
        <v>865</v>
      </c>
      <c r="B2" s="137" t="s">
        <v>754</v>
      </c>
      <c r="C2" s="137">
        <v>1</v>
      </c>
      <c r="D2" s="137" t="s">
        <v>564</v>
      </c>
      <c r="E2" s="160" t="s">
        <v>560</v>
      </c>
      <c r="F2" s="137" t="s">
        <v>553</v>
      </c>
      <c r="G2" s="137" t="s">
        <v>518</v>
      </c>
      <c r="H2" s="137" t="s">
        <v>528</v>
      </c>
      <c r="I2" s="137" t="s">
        <v>836</v>
      </c>
      <c r="J2" s="137" t="s">
        <v>529</v>
      </c>
      <c r="K2" s="137" t="s">
        <v>836</v>
      </c>
      <c r="L2" s="137">
        <v>10</v>
      </c>
      <c r="M2" s="137" t="s">
        <v>520</v>
      </c>
      <c r="N2" s="137" t="s">
        <v>98</v>
      </c>
      <c r="O2" s="137" t="s">
        <v>616</v>
      </c>
      <c r="P2" s="137" t="s">
        <v>100</v>
      </c>
      <c r="Q2" s="137" t="s">
        <v>101</v>
      </c>
      <c r="R2" s="137" t="s">
        <v>102</v>
      </c>
      <c r="S2" s="137" t="s">
        <v>103</v>
      </c>
      <c r="T2" s="137" t="s">
        <v>617</v>
      </c>
      <c r="U2" s="137" t="s">
        <v>105</v>
      </c>
      <c r="V2" s="137" t="s">
        <v>107</v>
      </c>
      <c r="W2" s="137" t="s">
        <v>108</v>
      </c>
      <c r="X2" s="137" t="s">
        <v>109</v>
      </c>
      <c r="Y2" s="137" t="s">
        <v>618</v>
      </c>
      <c r="Z2" s="137">
        <v>0</v>
      </c>
    </row>
    <row r="3" spans="1:26" ht="94.5">
      <c r="A3" s="162" t="s">
        <v>790</v>
      </c>
      <c r="B3" s="137" t="s">
        <v>754</v>
      </c>
      <c r="C3" s="137">
        <v>2</v>
      </c>
      <c r="D3" s="160" t="s">
        <v>560</v>
      </c>
      <c r="E3" s="137" t="s">
        <v>562</v>
      </c>
      <c r="F3" s="137" t="s">
        <v>553</v>
      </c>
      <c r="G3" s="137" t="s">
        <v>518</v>
      </c>
      <c r="H3" s="137" t="s">
        <v>528</v>
      </c>
      <c r="I3" s="137" t="s">
        <v>68</v>
      </c>
      <c r="J3" s="137" t="s">
        <v>529</v>
      </c>
      <c r="K3" s="137" t="s">
        <v>68</v>
      </c>
      <c r="L3" s="137">
        <v>10</v>
      </c>
      <c r="M3" s="137" t="s">
        <v>520</v>
      </c>
      <c r="N3" s="137" t="s">
        <v>98</v>
      </c>
      <c r="O3" s="137" t="s">
        <v>616</v>
      </c>
      <c r="P3" s="137" t="s">
        <v>100</v>
      </c>
      <c r="Q3" s="137" t="s">
        <v>101</v>
      </c>
      <c r="R3" s="137" t="s">
        <v>102</v>
      </c>
      <c r="S3" s="137" t="s">
        <v>103</v>
      </c>
      <c r="T3" s="137" t="s">
        <v>617</v>
      </c>
      <c r="U3" s="137" t="s">
        <v>105</v>
      </c>
      <c r="V3" s="137" t="s">
        <v>107</v>
      </c>
      <c r="W3" s="137" t="s">
        <v>108</v>
      </c>
      <c r="X3" s="137" t="s">
        <v>109</v>
      </c>
      <c r="Y3" s="137" t="s">
        <v>618</v>
      </c>
      <c r="Z3" s="137">
        <v>0</v>
      </c>
    </row>
    <row r="4" spans="1:26" ht="94.5">
      <c r="A4" s="161" t="s">
        <v>791</v>
      </c>
      <c r="B4" s="137" t="s">
        <v>754</v>
      </c>
      <c r="C4" s="137">
        <v>3</v>
      </c>
      <c r="D4" s="137" t="s">
        <v>563</v>
      </c>
      <c r="E4" s="160" t="s">
        <v>564</v>
      </c>
      <c r="F4" s="137" t="s">
        <v>553</v>
      </c>
      <c r="G4" s="137" t="s">
        <v>518</v>
      </c>
      <c r="H4" s="137" t="s">
        <v>528</v>
      </c>
      <c r="I4" s="137" t="s">
        <v>69</v>
      </c>
      <c r="J4" s="137" t="s">
        <v>529</v>
      </c>
      <c r="K4" s="137" t="s">
        <v>69</v>
      </c>
      <c r="L4" s="137">
        <v>10</v>
      </c>
      <c r="M4" s="137" t="s">
        <v>520</v>
      </c>
      <c r="N4" s="137" t="s">
        <v>98</v>
      </c>
      <c r="O4" s="137" t="s">
        <v>616</v>
      </c>
      <c r="P4" s="137" t="s">
        <v>100</v>
      </c>
      <c r="Q4" s="137" t="s">
        <v>101</v>
      </c>
      <c r="R4" s="137" t="s">
        <v>102</v>
      </c>
      <c r="S4" s="137" t="s">
        <v>103</v>
      </c>
      <c r="T4" s="137" t="s">
        <v>617</v>
      </c>
      <c r="U4" s="137" t="s">
        <v>105</v>
      </c>
      <c r="V4" s="137" t="s">
        <v>107</v>
      </c>
      <c r="W4" s="137" t="s">
        <v>108</v>
      </c>
      <c r="X4" s="137" t="s">
        <v>109</v>
      </c>
      <c r="Y4" s="137" t="s">
        <v>618</v>
      </c>
      <c r="Z4" s="137">
        <v>0</v>
      </c>
    </row>
    <row r="5" spans="1:26" ht="94.5">
      <c r="A5" s="161" t="s">
        <v>792</v>
      </c>
      <c r="B5" s="137" t="s">
        <v>754</v>
      </c>
      <c r="C5" s="137">
        <v>4</v>
      </c>
      <c r="D5" s="160" t="s">
        <v>562</v>
      </c>
      <c r="E5" s="137" t="s">
        <v>561</v>
      </c>
      <c r="F5" s="137" t="s">
        <v>553</v>
      </c>
      <c r="G5" s="137" t="s">
        <v>518</v>
      </c>
      <c r="H5" s="137" t="s">
        <v>528</v>
      </c>
      <c r="I5" s="137" t="s">
        <v>72</v>
      </c>
      <c r="J5" s="137" t="s">
        <v>529</v>
      </c>
      <c r="K5" s="137" t="s">
        <v>72</v>
      </c>
      <c r="L5" s="137">
        <v>10</v>
      </c>
      <c r="M5" s="137" t="s">
        <v>520</v>
      </c>
      <c r="N5" s="137" t="s">
        <v>98</v>
      </c>
      <c r="O5" s="137" t="s">
        <v>616</v>
      </c>
      <c r="P5" s="137" t="s">
        <v>100</v>
      </c>
      <c r="Q5" s="137" t="s">
        <v>101</v>
      </c>
      <c r="R5" s="137" t="s">
        <v>102</v>
      </c>
      <c r="S5" s="137" t="s">
        <v>103</v>
      </c>
      <c r="T5" s="137" t="s">
        <v>617</v>
      </c>
      <c r="U5" s="137" t="s">
        <v>105</v>
      </c>
      <c r="V5" s="137" t="s">
        <v>107</v>
      </c>
      <c r="W5" s="137" t="s">
        <v>108</v>
      </c>
      <c r="X5" s="137" t="s">
        <v>109</v>
      </c>
      <c r="Y5" s="137" t="s">
        <v>618</v>
      </c>
      <c r="Z5" s="137">
        <v>0</v>
      </c>
    </row>
    <row r="6" spans="1:26" ht="27">
      <c r="A6" s="162" t="s">
        <v>758</v>
      </c>
      <c r="B6" s="137" t="s">
        <v>754</v>
      </c>
      <c r="C6" s="137">
        <v>5</v>
      </c>
      <c r="D6" s="160" t="s">
        <v>753</v>
      </c>
      <c r="E6" s="160" t="s">
        <v>560</v>
      </c>
      <c r="F6" s="137" t="s">
        <v>553</v>
      </c>
      <c r="G6" s="137" t="s">
        <v>518</v>
      </c>
      <c r="H6" s="137" t="s">
        <v>528</v>
      </c>
      <c r="I6" s="137" t="s">
        <v>73</v>
      </c>
      <c r="J6" s="137" t="s">
        <v>529</v>
      </c>
      <c r="K6" s="137" t="s">
        <v>73</v>
      </c>
      <c r="L6" s="137">
        <v>10</v>
      </c>
      <c r="M6" s="137" t="s">
        <v>520</v>
      </c>
      <c r="N6" s="137" t="s">
        <v>98</v>
      </c>
      <c r="O6" s="137" t="s">
        <v>616</v>
      </c>
      <c r="P6" s="137" t="s">
        <v>100</v>
      </c>
      <c r="Q6" s="137" t="s">
        <v>101</v>
      </c>
      <c r="R6" s="137" t="s">
        <v>102</v>
      </c>
      <c r="S6" s="137" t="s">
        <v>103</v>
      </c>
      <c r="T6" s="137" t="s">
        <v>617</v>
      </c>
      <c r="U6" s="137" t="s">
        <v>105</v>
      </c>
      <c r="V6" s="137" t="s">
        <v>107</v>
      </c>
      <c r="W6" s="137" t="s">
        <v>108</v>
      </c>
      <c r="X6" s="137" t="s">
        <v>109</v>
      </c>
      <c r="Y6" s="137" t="s">
        <v>618</v>
      </c>
      <c r="Z6" s="137">
        <v>0</v>
      </c>
    </row>
    <row r="7" spans="1:26" ht="40.5">
      <c r="A7" s="161" t="s">
        <v>1019</v>
      </c>
      <c r="B7" s="137" t="s">
        <v>754</v>
      </c>
      <c r="C7" s="137">
        <v>6</v>
      </c>
      <c r="D7" s="137" t="s">
        <v>563</v>
      </c>
      <c r="E7" s="137" t="s">
        <v>561</v>
      </c>
      <c r="F7" s="137" t="s">
        <v>553</v>
      </c>
      <c r="G7" s="137" t="s">
        <v>518</v>
      </c>
      <c r="H7" s="137" t="s">
        <v>528</v>
      </c>
      <c r="I7" s="137" t="s">
        <v>74</v>
      </c>
      <c r="J7" s="137" t="s">
        <v>529</v>
      </c>
      <c r="K7" s="137" t="s">
        <v>74</v>
      </c>
      <c r="L7" s="137">
        <v>10</v>
      </c>
      <c r="M7" s="160" t="s">
        <v>826</v>
      </c>
      <c r="N7" s="137" t="s">
        <v>98</v>
      </c>
      <c r="O7" s="137" t="s">
        <v>616</v>
      </c>
      <c r="P7" s="137" t="s">
        <v>100</v>
      </c>
      <c r="Q7" s="137" t="s">
        <v>101</v>
      </c>
      <c r="R7" s="137" t="s">
        <v>102</v>
      </c>
      <c r="S7" s="137" t="s">
        <v>103</v>
      </c>
      <c r="T7" s="137" t="s">
        <v>617</v>
      </c>
      <c r="U7" s="137" t="s">
        <v>105</v>
      </c>
      <c r="V7" s="137" t="s">
        <v>107</v>
      </c>
      <c r="W7" s="137" t="s">
        <v>108</v>
      </c>
      <c r="X7" s="137" t="s">
        <v>109</v>
      </c>
      <c r="Y7" s="137" t="s">
        <v>618</v>
      </c>
      <c r="Z7" s="137">
        <v>0</v>
      </c>
    </row>
    <row r="8" spans="1:26" ht="81">
      <c r="A8" s="161" t="s">
        <v>798</v>
      </c>
      <c r="B8" s="137" t="s">
        <v>754</v>
      </c>
      <c r="C8" s="137">
        <v>7</v>
      </c>
      <c r="D8" s="137" t="s">
        <v>563</v>
      </c>
      <c r="E8" s="137" t="s">
        <v>561</v>
      </c>
      <c r="F8" s="137" t="s">
        <v>553</v>
      </c>
      <c r="G8" s="137" t="s">
        <v>518</v>
      </c>
      <c r="H8" s="137" t="s">
        <v>528</v>
      </c>
      <c r="I8" s="137" t="s">
        <v>74</v>
      </c>
      <c r="J8" s="137" t="s">
        <v>529</v>
      </c>
      <c r="K8" s="137" t="s">
        <v>94</v>
      </c>
      <c r="L8" s="137">
        <v>10</v>
      </c>
      <c r="M8" s="137" t="s">
        <v>520</v>
      </c>
      <c r="N8" s="137" t="s">
        <v>98</v>
      </c>
      <c r="O8" s="137" t="s">
        <v>616</v>
      </c>
      <c r="P8" s="137" t="s">
        <v>100</v>
      </c>
      <c r="Q8" s="137" t="s">
        <v>101</v>
      </c>
      <c r="R8" s="137" t="s">
        <v>102</v>
      </c>
      <c r="S8" s="137" t="s">
        <v>103</v>
      </c>
      <c r="T8" s="137" t="s">
        <v>617</v>
      </c>
      <c r="U8" s="137" t="s">
        <v>105</v>
      </c>
      <c r="V8" s="137" t="s">
        <v>107</v>
      </c>
      <c r="W8" s="137" t="s">
        <v>108</v>
      </c>
      <c r="X8" s="137" t="s">
        <v>109</v>
      </c>
      <c r="Y8" s="137" t="s">
        <v>618</v>
      </c>
      <c r="Z8" s="137">
        <v>0</v>
      </c>
    </row>
    <row r="9" spans="1:26" ht="81">
      <c r="A9" s="161" t="s">
        <v>799</v>
      </c>
      <c r="B9" s="137" t="s">
        <v>754</v>
      </c>
      <c r="C9" s="137">
        <v>8</v>
      </c>
      <c r="D9" s="137" t="s">
        <v>563</v>
      </c>
      <c r="E9" s="137" t="s">
        <v>561</v>
      </c>
      <c r="F9" s="137" t="s">
        <v>553</v>
      </c>
      <c r="G9" s="137" t="s">
        <v>518</v>
      </c>
      <c r="H9" s="137" t="s">
        <v>528</v>
      </c>
      <c r="I9" s="137" t="s">
        <v>74</v>
      </c>
      <c r="J9" s="137" t="s">
        <v>529</v>
      </c>
      <c r="K9" s="137" t="s">
        <v>95</v>
      </c>
      <c r="L9" s="137">
        <v>10</v>
      </c>
      <c r="M9" s="137" t="s">
        <v>520</v>
      </c>
      <c r="N9" s="137" t="s">
        <v>98</v>
      </c>
      <c r="O9" s="137" t="s">
        <v>616</v>
      </c>
      <c r="P9" s="137" t="s">
        <v>100</v>
      </c>
      <c r="Q9" s="137" t="s">
        <v>101</v>
      </c>
      <c r="R9" s="137" t="s">
        <v>102</v>
      </c>
      <c r="S9" s="137" t="s">
        <v>103</v>
      </c>
      <c r="T9" s="137" t="s">
        <v>617</v>
      </c>
      <c r="U9" s="137" t="s">
        <v>105</v>
      </c>
      <c r="V9" s="137" t="s">
        <v>107</v>
      </c>
      <c r="W9" s="137" t="s">
        <v>108</v>
      </c>
      <c r="X9" s="137" t="s">
        <v>109</v>
      </c>
      <c r="Y9" s="137" t="s">
        <v>618</v>
      </c>
      <c r="Z9" s="137">
        <v>0</v>
      </c>
    </row>
    <row r="10" spans="1:26" ht="81">
      <c r="A10" s="161" t="s">
        <v>800</v>
      </c>
      <c r="B10" s="137" t="s">
        <v>754</v>
      </c>
      <c r="C10" s="137">
        <v>9</v>
      </c>
      <c r="D10" s="137" t="s">
        <v>563</v>
      </c>
      <c r="E10" s="137" t="s">
        <v>561</v>
      </c>
      <c r="F10" s="137" t="s">
        <v>553</v>
      </c>
      <c r="G10" s="137" t="s">
        <v>518</v>
      </c>
      <c r="H10" s="137" t="s">
        <v>528</v>
      </c>
      <c r="I10" s="137" t="s">
        <v>74</v>
      </c>
      <c r="J10" s="137" t="s">
        <v>529</v>
      </c>
      <c r="K10" s="137" t="s">
        <v>96</v>
      </c>
      <c r="L10" s="137">
        <v>10</v>
      </c>
      <c r="M10" s="137" t="s">
        <v>520</v>
      </c>
      <c r="N10" s="137" t="s">
        <v>98</v>
      </c>
      <c r="O10" s="137" t="s">
        <v>616</v>
      </c>
      <c r="P10" s="137" t="s">
        <v>100</v>
      </c>
      <c r="Q10" s="137" t="s">
        <v>101</v>
      </c>
      <c r="R10" s="137" t="s">
        <v>102</v>
      </c>
      <c r="S10" s="137" t="s">
        <v>103</v>
      </c>
      <c r="T10" s="137" t="s">
        <v>617</v>
      </c>
      <c r="U10" s="137" t="s">
        <v>105</v>
      </c>
      <c r="V10" s="137" t="s">
        <v>107</v>
      </c>
      <c r="W10" s="137" t="s">
        <v>108</v>
      </c>
      <c r="X10" s="137" t="s">
        <v>109</v>
      </c>
      <c r="Y10" s="137" t="s">
        <v>618</v>
      </c>
      <c r="Z10" s="137">
        <v>0</v>
      </c>
    </row>
    <row r="11" spans="1:26" ht="81">
      <c r="A11" s="161" t="s">
        <v>801</v>
      </c>
      <c r="B11" s="137" t="s">
        <v>754</v>
      </c>
      <c r="C11" s="137">
        <v>10</v>
      </c>
      <c r="D11" s="137" t="s">
        <v>563</v>
      </c>
      <c r="E11" s="137" t="s">
        <v>561</v>
      </c>
      <c r="F11" s="137" t="s">
        <v>553</v>
      </c>
      <c r="G11" s="137" t="s">
        <v>518</v>
      </c>
      <c r="H11" s="137" t="s">
        <v>528</v>
      </c>
      <c r="I11" s="137" t="s">
        <v>74</v>
      </c>
      <c r="J11" s="137" t="s">
        <v>529</v>
      </c>
      <c r="K11" s="137" t="s">
        <v>97</v>
      </c>
      <c r="L11" s="137">
        <v>10</v>
      </c>
      <c r="M11" s="137" t="s">
        <v>520</v>
      </c>
      <c r="N11" s="137" t="s">
        <v>98</v>
      </c>
      <c r="O11" s="137" t="s">
        <v>616</v>
      </c>
      <c r="P11" s="137" t="s">
        <v>100</v>
      </c>
      <c r="Q11" s="137" t="s">
        <v>101</v>
      </c>
      <c r="R11" s="137" t="s">
        <v>102</v>
      </c>
      <c r="S11" s="137" t="s">
        <v>103</v>
      </c>
      <c r="T11" s="137" t="s">
        <v>617</v>
      </c>
      <c r="U11" s="137" t="s">
        <v>105</v>
      </c>
      <c r="V11" s="137" t="s">
        <v>107</v>
      </c>
      <c r="W11" s="137" t="s">
        <v>108</v>
      </c>
      <c r="X11" s="137" t="s">
        <v>109</v>
      </c>
      <c r="Y11" s="137" t="s">
        <v>618</v>
      </c>
      <c r="Z11" s="137">
        <v>0</v>
      </c>
    </row>
    <row r="12" spans="1:26" ht="81">
      <c r="A12" s="161" t="s">
        <v>802</v>
      </c>
      <c r="B12" s="137" t="s">
        <v>754</v>
      </c>
      <c r="C12" s="137">
        <v>11</v>
      </c>
      <c r="D12" s="137" t="s">
        <v>563</v>
      </c>
      <c r="E12" s="137" t="s">
        <v>561</v>
      </c>
      <c r="F12" s="137" t="s">
        <v>553</v>
      </c>
      <c r="G12" s="137" t="s">
        <v>518</v>
      </c>
      <c r="H12" s="137" t="s">
        <v>528</v>
      </c>
      <c r="I12" s="137" t="s">
        <v>74</v>
      </c>
      <c r="J12" s="137" t="s">
        <v>529</v>
      </c>
      <c r="K12" s="137" t="s">
        <v>98</v>
      </c>
      <c r="L12" s="137">
        <v>10</v>
      </c>
      <c r="M12" s="137" t="s">
        <v>520</v>
      </c>
      <c r="N12" s="137" t="s">
        <v>98</v>
      </c>
      <c r="O12" s="137" t="s">
        <v>616</v>
      </c>
      <c r="P12" s="137" t="s">
        <v>100</v>
      </c>
      <c r="Q12" s="137" t="s">
        <v>101</v>
      </c>
      <c r="R12" s="137" t="s">
        <v>102</v>
      </c>
      <c r="S12" s="137" t="s">
        <v>103</v>
      </c>
      <c r="T12" s="137" t="s">
        <v>617</v>
      </c>
      <c r="U12" s="137" t="s">
        <v>105</v>
      </c>
      <c r="V12" s="137" t="s">
        <v>107</v>
      </c>
      <c r="W12" s="137" t="s">
        <v>108</v>
      </c>
      <c r="X12" s="137" t="s">
        <v>109</v>
      </c>
      <c r="Y12" s="137" t="s">
        <v>618</v>
      </c>
      <c r="Z12" s="137">
        <v>0</v>
      </c>
    </row>
    <row r="13" spans="1:26" ht="81">
      <c r="A13" s="161" t="s">
        <v>803</v>
      </c>
      <c r="B13" s="137" t="s">
        <v>754</v>
      </c>
      <c r="C13" s="137">
        <v>12</v>
      </c>
      <c r="D13" s="137" t="s">
        <v>563</v>
      </c>
      <c r="E13" s="137" t="s">
        <v>561</v>
      </c>
      <c r="F13" s="137" t="s">
        <v>553</v>
      </c>
      <c r="G13" s="137" t="s">
        <v>518</v>
      </c>
      <c r="H13" s="137" t="s">
        <v>528</v>
      </c>
      <c r="I13" s="137" t="s">
        <v>74</v>
      </c>
      <c r="J13" s="137" t="s">
        <v>529</v>
      </c>
      <c r="K13" s="137" t="s">
        <v>99</v>
      </c>
      <c r="L13" s="137">
        <v>10</v>
      </c>
      <c r="M13" s="137" t="s">
        <v>520</v>
      </c>
      <c r="N13" s="137" t="s">
        <v>98</v>
      </c>
      <c r="O13" s="137" t="s">
        <v>616</v>
      </c>
      <c r="P13" s="137" t="s">
        <v>100</v>
      </c>
      <c r="Q13" s="137" t="s">
        <v>101</v>
      </c>
      <c r="R13" s="137" t="s">
        <v>102</v>
      </c>
      <c r="S13" s="137" t="s">
        <v>103</v>
      </c>
      <c r="T13" s="137" t="s">
        <v>617</v>
      </c>
      <c r="U13" s="137" t="s">
        <v>105</v>
      </c>
      <c r="V13" s="137" t="s">
        <v>107</v>
      </c>
      <c r="W13" s="137" t="s">
        <v>108</v>
      </c>
      <c r="X13" s="137" t="s">
        <v>109</v>
      </c>
      <c r="Y13" s="137" t="s">
        <v>618</v>
      </c>
      <c r="Z13" s="137">
        <v>0</v>
      </c>
    </row>
    <row r="14" spans="1:26" ht="81">
      <c r="A14" s="161" t="s">
        <v>804</v>
      </c>
      <c r="B14" s="137" t="s">
        <v>754</v>
      </c>
      <c r="C14" s="137">
        <v>13</v>
      </c>
      <c r="D14" s="137" t="s">
        <v>563</v>
      </c>
      <c r="E14" s="137" t="s">
        <v>561</v>
      </c>
      <c r="F14" s="137" t="s">
        <v>553</v>
      </c>
      <c r="G14" s="137" t="s">
        <v>518</v>
      </c>
      <c r="H14" s="137" t="s">
        <v>528</v>
      </c>
      <c r="I14" s="137" t="s">
        <v>74</v>
      </c>
      <c r="J14" s="137" t="s">
        <v>529</v>
      </c>
      <c r="K14" s="137" t="s">
        <v>100</v>
      </c>
      <c r="L14" s="137">
        <v>10</v>
      </c>
      <c r="M14" s="137" t="s">
        <v>520</v>
      </c>
      <c r="N14" s="137" t="s">
        <v>98</v>
      </c>
      <c r="O14" s="137" t="s">
        <v>616</v>
      </c>
      <c r="P14" s="137" t="s">
        <v>100</v>
      </c>
      <c r="Q14" s="137" t="s">
        <v>101</v>
      </c>
      <c r="R14" s="137" t="s">
        <v>102</v>
      </c>
      <c r="S14" s="137" t="s">
        <v>103</v>
      </c>
      <c r="T14" s="137" t="s">
        <v>617</v>
      </c>
      <c r="U14" s="137" t="s">
        <v>105</v>
      </c>
      <c r="V14" s="137" t="s">
        <v>107</v>
      </c>
      <c r="W14" s="137" t="s">
        <v>108</v>
      </c>
      <c r="X14" s="137" t="s">
        <v>109</v>
      </c>
      <c r="Y14" s="137" t="s">
        <v>618</v>
      </c>
      <c r="Z14" s="137">
        <v>0</v>
      </c>
    </row>
    <row r="15" spans="1:26" ht="81">
      <c r="A15" s="161" t="s">
        <v>805</v>
      </c>
      <c r="B15" s="137" t="s">
        <v>754</v>
      </c>
      <c r="C15" s="137">
        <v>14</v>
      </c>
      <c r="D15" s="137" t="s">
        <v>563</v>
      </c>
      <c r="E15" s="137" t="s">
        <v>561</v>
      </c>
      <c r="F15" s="137" t="s">
        <v>553</v>
      </c>
      <c r="G15" s="137" t="s">
        <v>518</v>
      </c>
      <c r="H15" s="137" t="s">
        <v>528</v>
      </c>
      <c r="I15" s="137" t="s">
        <v>74</v>
      </c>
      <c r="J15" s="137" t="s">
        <v>529</v>
      </c>
      <c r="K15" s="137" t="s">
        <v>101</v>
      </c>
      <c r="L15" s="137">
        <v>10</v>
      </c>
      <c r="M15" s="137" t="s">
        <v>520</v>
      </c>
      <c r="N15" s="137" t="s">
        <v>98</v>
      </c>
      <c r="O15" s="137" t="s">
        <v>616</v>
      </c>
      <c r="P15" s="137" t="s">
        <v>100</v>
      </c>
      <c r="Q15" s="137" t="s">
        <v>101</v>
      </c>
      <c r="R15" s="137" t="s">
        <v>102</v>
      </c>
      <c r="S15" s="137" t="s">
        <v>103</v>
      </c>
      <c r="T15" s="137" t="s">
        <v>617</v>
      </c>
      <c r="U15" s="137" t="s">
        <v>105</v>
      </c>
      <c r="V15" s="137" t="s">
        <v>107</v>
      </c>
      <c r="W15" s="137" t="s">
        <v>108</v>
      </c>
      <c r="X15" s="137" t="s">
        <v>109</v>
      </c>
      <c r="Y15" s="137" t="s">
        <v>618</v>
      </c>
      <c r="Z15" s="137">
        <v>0</v>
      </c>
    </row>
    <row r="16" spans="1:26" ht="81">
      <c r="A16" s="161" t="s">
        <v>806</v>
      </c>
      <c r="B16" s="137" t="s">
        <v>754</v>
      </c>
      <c r="C16" s="137">
        <v>15</v>
      </c>
      <c r="D16" s="137" t="s">
        <v>563</v>
      </c>
      <c r="E16" s="137" t="s">
        <v>561</v>
      </c>
      <c r="F16" s="137" t="s">
        <v>553</v>
      </c>
      <c r="G16" s="137" t="s">
        <v>518</v>
      </c>
      <c r="H16" s="137" t="s">
        <v>528</v>
      </c>
      <c r="I16" s="137" t="s">
        <v>74</v>
      </c>
      <c r="J16" s="137" t="s">
        <v>529</v>
      </c>
      <c r="K16" s="137" t="s">
        <v>102</v>
      </c>
      <c r="L16" s="137">
        <v>10</v>
      </c>
      <c r="M16" s="137" t="s">
        <v>520</v>
      </c>
      <c r="N16" s="137" t="s">
        <v>98</v>
      </c>
      <c r="O16" s="137" t="s">
        <v>616</v>
      </c>
      <c r="P16" s="137" t="s">
        <v>100</v>
      </c>
      <c r="Q16" s="137" t="s">
        <v>101</v>
      </c>
      <c r="R16" s="137" t="s">
        <v>102</v>
      </c>
      <c r="S16" s="137" t="s">
        <v>103</v>
      </c>
      <c r="T16" s="137" t="s">
        <v>617</v>
      </c>
      <c r="U16" s="137" t="s">
        <v>105</v>
      </c>
      <c r="V16" s="137" t="s">
        <v>107</v>
      </c>
      <c r="W16" s="137" t="s">
        <v>108</v>
      </c>
      <c r="X16" s="137" t="s">
        <v>109</v>
      </c>
      <c r="Y16" s="137" t="s">
        <v>618</v>
      </c>
      <c r="Z16" s="137">
        <v>0</v>
      </c>
    </row>
    <row r="17" spans="1:26" ht="81">
      <c r="A17" s="161" t="s">
        <v>807</v>
      </c>
      <c r="B17" s="137" t="s">
        <v>754</v>
      </c>
      <c r="C17" s="137">
        <v>16</v>
      </c>
      <c r="D17" s="137" t="s">
        <v>563</v>
      </c>
      <c r="E17" s="137" t="s">
        <v>561</v>
      </c>
      <c r="F17" s="137" t="s">
        <v>553</v>
      </c>
      <c r="G17" s="137" t="s">
        <v>518</v>
      </c>
      <c r="H17" s="137" t="s">
        <v>528</v>
      </c>
      <c r="I17" s="137" t="s">
        <v>74</v>
      </c>
      <c r="J17" s="137" t="s">
        <v>529</v>
      </c>
      <c r="K17" s="137" t="s">
        <v>103</v>
      </c>
      <c r="L17" s="137">
        <v>10</v>
      </c>
      <c r="M17" s="137" t="s">
        <v>520</v>
      </c>
      <c r="N17" s="137" t="s">
        <v>98</v>
      </c>
      <c r="O17" s="137" t="s">
        <v>616</v>
      </c>
      <c r="P17" s="137" t="s">
        <v>100</v>
      </c>
      <c r="Q17" s="137" t="s">
        <v>101</v>
      </c>
      <c r="R17" s="137" t="s">
        <v>102</v>
      </c>
      <c r="S17" s="137" t="s">
        <v>103</v>
      </c>
      <c r="T17" s="137" t="s">
        <v>617</v>
      </c>
      <c r="U17" s="137" t="s">
        <v>105</v>
      </c>
      <c r="V17" s="137" t="s">
        <v>107</v>
      </c>
      <c r="W17" s="137" t="s">
        <v>108</v>
      </c>
      <c r="X17" s="137" t="s">
        <v>109</v>
      </c>
      <c r="Y17" s="137" t="s">
        <v>618</v>
      </c>
      <c r="Z17" s="137">
        <v>0</v>
      </c>
    </row>
    <row r="18" spans="1:26" ht="81">
      <c r="A18" s="161" t="s">
        <v>808</v>
      </c>
      <c r="B18" s="137" t="s">
        <v>754</v>
      </c>
      <c r="C18" s="137">
        <v>17</v>
      </c>
      <c r="D18" s="137" t="s">
        <v>563</v>
      </c>
      <c r="E18" s="137" t="s">
        <v>561</v>
      </c>
      <c r="F18" s="137" t="s">
        <v>553</v>
      </c>
      <c r="G18" s="137" t="s">
        <v>518</v>
      </c>
      <c r="H18" s="137" t="s">
        <v>528</v>
      </c>
      <c r="I18" s="137" t="s">
        <v>74</v>
      </c>
      <c r="J18" s="137" t="s">
        <v>529</v>
      </c>
      <c r="K18" s="137" t="s">
        <v>104</v>
      </c>
      <c r="L18" s="137">
        <v>10</v>
      </c>
      <c r="M18" s="137" t="s">
        <v>520</v>
      </c>
      <c r="N18" s="137" t="s">
        <v>98</v>
      </c>
      <c r="O18" s="137" t="s">
        <v>616</v>
      </c>
      <c r="P18" s="137" t="s">
        <v>100</v>
      </c>
      <c r="Q18" s="137" t="s">
        <v>101</v>
      </c>
      <c r="R18" s="137" t="s">
        <v>102</v>
      </c>
      <c r="S18" s="137" t="s">
        <v>103</v>
      </c>
      <c r="T18" s="137" t="s">
        <v>617</v>
      </c>
      <c r="U18" s="137" t="s">
        <v>105</v>
      </c>
      <c r="V18" s="137" t="s">
        <v>107</v>
      </c>
      <c r="W18" s="137" t="s">
        <v>108</v>
      </c>
      <c r="X18" s="137" t="s">
        <v>109</v>
      </c>
      <c r="Y18" s="137" t="s">
        <v>618</v>
      </c>
      <c r="Z18" s="137">
        <v>0</v>
      </c>
    </row>
    <row r="19" spans="1:26" ht="81">
      <c r="A19" s="161" t="s">
        <v>809</v>
      </c>
      <c r="B19" s="137" t="s">
        <v>754</v>
      </c>
      <c r="C19" s="137">
        <v>18</v>
      </c>
      <c r="D19" s="137" t="s">
        <v>563</v>
      </c>
      <c r="E19" s="137" t="s">
        <v>561</v>
      </c>
      <c r="F19" s="137" t="s">
        <v>553</v>
      </c>
      <c r="G19" s="137" t="s">
        <v>518</v>
      </c>
      <c r="H19" s="137" t="s">
        <v>528</v>
      </c>
      <c r="I19" s="137" t="s">
        <v>74</v>
      </c>
      <c r="J19" s="137" t="s">
        <v>529</v>
      </c>
      <c r="K19" s="137" t="s">
        <v>105</v>
      </c>
      <c r="L19" s="137">
        <v>10</v>
      </c>
      <c r="M19" s="137" t="s">
        <v>520</v>
      </c>
      <c r="N19" s="137" t="s">
        <v>98</v>
      </c>
      <c r="O19" s="137" t="s">
        <v>616</v>
      </c>
      <c r="P19" s="137" t="s">
        <v>100</v>
      </c>
      <c r="Q19" s="137" t="s">
        <v>101</v>
      </c>
      <c r="R19" s="137" t="s">
        <v>102</v>
      </c>
      <c r="S19" s="137" t="s">
        <v>103</v>
      </c>
      <c r="T19" s="137" t="s">
        <v>617</v>
      </c>
      <c r="U19" s="137" t="s">
        <v>105</v>
      </c>
      <c r="V19" s="137" t="s">
        <v>107</v>
      </c>
      <c r="W19" s="137" t="s">
        <v>108</v>
      </c>
      <c r="X19" s="137" t="s">
        <v>109</v>
      </c>
      <c r="Y19" s="137" t="s">
        <v>618</v>
      </c>
      <c r="Z19" s="137">
        <v>0</v>
      </c>
    </row>
    <row r="20" spans="1:26" ht="81">
      <c r="A20" s="161" t="s">
        <v>810</v>
      </c>
      <c r="B20" s="137" t="s">
        <v>754</v>
      </c>
      <c r="C20" s="137">
        <v>19</v>
      </c>
      <c r="D20" s="137" t="s">
        <v>563</v>
      </c>
      <c r="E20" s="137" t="s">
        <v>561</v>
      </c>
      <c r="F20" s="137" t="s">
        <v>553</v>
      </c>
      <c r="G20" s="137" t="s">
        <v>518</v>
      </c>
      <c r="H20" s="137" t="s">
        <v>528</v>
      </c>
      <c r="I20" s="137" t="s">
        <v>74</v>
      </c>
      <c r="J20" s="137" t="s">
        <v>529</v>
      </c>
      <c r="K20" s="137" t="s">
        <v>107</v>
      </c>
      <c r="L20" s="137">
        <v>10</v>
      </c>
      <c r="M20" s="137" t="s">
        <v>520</v>
      </c>
      <c r="N20" s="137" t="s">
        <v>98</v>
      </c>
      <c r="O20" s="137" t="s">
        <v>616</v>
      </c>
      <c r="P20" s="137" t="s">
        <v>100</v>
      </c>
      <c r="Q20" s="137" t="s">
        <v>101</v>
      </c>
      <c r="R20" s="137" t="s">
        <v>102</v>
      </c>
      <c r="S20" s="137" t="s">
        <v>103</v>
      </c>
      <c r="T20" s="137" t="s">
        <v>617</v>
      </c>
      <c r="U20" s="137" t="s">
        <v>105</v>
      </c>
      <c r="V20" s="137" t="s">
        <v>107</v>
      </c>
      <c r="W20" s="137" t="s">
        <v>108</v>
      </c>
      <c r="X20" s="137" t="s">
        <v>109</v>
      </c>
      <c r="Y20" s="137" t="s">
        <v>618</v>
      </c>
      <c r="Z20" s="137">
        <v>0</v>
      </c>
    </row>
    <row r="21" spans="1:26" ht="81">
      <c r="A21" s="161" t="s">
        <v>811</v>
      </c>
      <c r="B21" s="137" t="s">
        <v>754</v>
      </c>
      <c r="C21" s="137">
        <v>20</v>
      </c>
      <c r="D21" s="137" t="s">
        <v>563</v>
      </c>
      <c r="E21" s="137" t="s">
        <v>561</v>
      </c>
      <c r="F21" s="137" t="s">
        <v>553</v>
      </c>
      <c r="G21" s="137" t="s">
        <v>518</v>
      </c>
      <c r="H21" s="137" t="s">
        <v>528</v>
      </c>
      <c r="I21" s="137" t="s">
        <v>74</v>
      </c>
      <c r="J21" s="137" t="s">
        <v>529</v>
      </c>
      <c r="K21" s="137" t="s">
        <v>108</v>
      </c>
      <c r="L21" s="137">
        <v>10</v>
      </c>
      <c r="M21" s="137" t="s">
        <v>520</v>
      </c>
      <c r="N21" s="137" t="s">
        <v>98</v>
      </c>
      <c r="O21" s="137" t="s">
        <v>616</v>
      </c>
      <c r="P21" s="137" t="s">
        <v>100</v>
      </c>
      <c r="Q21" s="137" t="s">
        <v>101</v>
      </c>
      <c r="R21" s="137" t="s">
        <v>102</v>
      </c>
      <c r="S21" s="137" t="s">
        <v>103</v>
      </c>
      <c r="T21" s="137" t="s">
        <v>617</v>
      </c>
      <c r="U21" s="137" t="s">
        <v>105</v>
      </c>
      <c r="V21" s="137" t="s">
        <v>107</v>
      </c>
      <c r="W21" s="137" t="s">
        <v>108</v>
      </c>
      <c r="X21" s="137" t="s">
        <v>109</v>
      </c>
      <c r="Y21" s="137" t="s">
        <v>618</v>
      </c>
      <c r="Z21" s="137">
        <v>0</v>
      </c>
    </row>
    <row r="22" spans="1:26" ht="81">
      <c r="A22" s="161" t="s">
        <v>812</v>
      </c>
      <c r="B22" s="137" t="s">
        <v>754</v>
      </c>
      <c r="C22" s="137">
        <v>21</v>
      </c>
      <c r="D22" s="137" t="s">
        <v>563</v>
      </c>
      <c r="E22" s="137" t="s">
        <v>561</v>
      </c>
      <c r="F22" s="137" t="s">
        <v>553</v>
      </c>
      <c r="G22" s="137" t="s">
        <v>518</v>
      </c>
      <c r="H22" s="137" t="s">
        <v>528</v>
      </c>
      <c r="I22" s="137" t="s">
        <v>74</v>
      </c>
      <c r="J22" s="137" t="s">
        <v>529</v>
      </c>
      <c r="K22" s="137" t="s">
        <v>109</v>
      </c>
      <c r="L22" s="137">
        <v>10</v>
      </c>
      <c r="M22" s="137" t="s">
        <v>520</v>
      </c>
      <c r="N22" s="137" t="s">
        <v>98</v>
      </c>
      <c r="O22" s="137" t="s">
        <v>616</v>
      </c>
      <c r="P22" s="137" t="s">
        <v>100</v>
      </c>
      <c r="Q22" s="137" t="s">
        <v>101</v>
      </c>
      <c r="R22" s="137" t="s">
        <v>102</v>
      </c>
      <c r="S22" s="137" t="s">
        <v>103</v>
      </c>
      <c r="T22" s="137" t="s">
        <v>617</v>
      </c>
      <c r="U22" s="137" t="s">
        <v>105</v>
      </c>
      <c r="V22" s="137" t="s">
        <v>107</v>
      </c>
      <c r="W22" s="137" t="s">
        <v>108</v>
      </c>
      <c r="X22" s="137" t="s">
        <v>109</v>
      </c>
      <c r="Y22" s="137" t="s">
        <v>618</v>
      </c>
      <c r="Z22" s="137">
        <v>0</v>
      </c>
    </row>
    <row r="23" spans="1:26" ht="81">
      <c r="A23" s="161" t="s">
        <v>813</v>
      </c>
      <c r="B23" s="137" t="s">
        <v>754</v>
      </c>
      <c r="C23" s="137">
        <v>22</v>
      </c>
      <c r="D23" s="137" t="s">
        <v>563</v>
      </c>
      <c r="E23" s="137" t="s">
        <v>561</v>
      </c>
      <c r="F23" s="137" t="s">
        <v>553</v>
      </c>
      <c r="G23" s="137" t="s">
        <v>518</v>
      </c>
      <c r="H23" s="137" t="s">
        <v>528</v>
      </c>
      <c r="I23" s="137" t="s">
        <v>74</v>
      </c>
      <c r="J23" s="137" t="s">
        <v>529</v>
      </c>
      <c r="K23" s="137" t="s">
        <v>110</v>
      </c>
      <c r="L23" s="137">
        <v>10</v>
      </c>
      <c r="M23" s="137" t="s">
        <v>520</v>
      </c>
      <c r="N23" s="137" t="s">
        <v>98</v>
      </c>
      <c r="O23" s="137" t="s">
        <v>616</v>
      </c>
      <c r="P23" s="137" t="s">
        <v>100</v>
      </c>
      <c r="Q23" s="137" t="s">
        <v>101</v>
      </c>
      <c r="R23" s="137" t="s">
        <v>102</v>
      </c>
      <c r="S23" s="137" t="s">
        <v>103</v>
      </c>
      <c r="T23" s="137" t="s">
        <v>617</v>
      </c>
      <c r="U23" s="137" t="s">
        <v>105</v>
      </c>
      <c r="V23" s="137" t="s">
        <v>107</v>
      </c>
      <c r="W23" s="137" t="s">
        <v>108</v>
      </c>
      <c r="X23" s="137" t="s">
        <v>109</v>
      </c>
      <c r="Y23" s="137" t="s">
        <v>618</v>
      </c>
      <c r="Z23" s="137">
        <v>0</v>
      </c>
    </row>
    <row r="24" spans="1:26" ht="67.5">
      <c r="A24" s="161" t="s">
        <v>814</v>
      </c>
      <c r="B24" s="137" t="s">
        <v>754</v>
      </c>
      <c r="C24" s="137">
        <v>23</v>
      </c>
      <c r="D24" s="137" t="s">
        <v>563</v>
      </c>
      <c r="E24" s="137" t="s">
        <v>561</v>
      </c>
      <c r="F24" s="137" t="s">
        <v>553</v>
      </c>
      <c r="G24" s="137" t="s">
        <v>518</v>
      </c>
      <c r="H24" s="137" t="s">
        <v>528</v>
      </c>
      <c r="I24" s="137" t="s">
        <v>74</v>
      </c>
      <c r="J24" s="137" t="s">
        <v>529</v>
      </c>
      <c r="K24" s="137" t="s">
        <v>111</v>
      </c>
      <c r="L24" s="137">
        <v>10</v>
      </c>
      <c r="M24" s="137" t="s">
        <v>520</v>
      </c>
      <c r="N24" s="137" t="s">
        <v>98</v>
      </c>
      <c r="O24" s="137" t="s">
        <v>616</v>
      </c>
      <c r="P24" s="137" t="s">
        <v>100</v>
      </c>
      <c r="Q24" s="137" t="s">
        <v>101</v>
      </c>
      <c r="R24" s="137" t="s">
        <v>102</v>
      </c>
      <c r="S24" s="137" t="s">
        <v>103</v>
      </c>
      <c r="T24" s="137" t="s">
        <v>617</v>
      </c>
      <c r="U24" s="137" t="s">
        <v>105</v>
      </c>
      <c r="V24" s="137" t="s">
        <v>107</v>
      </c>
      <c r="W24" s="137" t="s">
        <v>108</v>
      </c>
      <c r="X24" s="137" t="s">
        <v>109</v>
      </c>
      <c r="Y24" s="137" t="s">
        <v>618</v>
      </c>
      <c r="Z24" s="137">
        <v>0</v>
      </c>
    </row>
    <row r="25" spans="1:26" ht="67.5">
      <c r="A25" s="161" t="s">
        <v>815</v>
      </c>
      <c r="B25" s="137" t="s">
        <v>754</v>
      </c>
      <c r="C25" s="137">
        <v>24</v>
      </c>
      <c r="D25" s="137" t="s">
        <v>563</v>
      </c>
      <c r="E25" s="137" t="s">
        <v>561</v>
      </c>
      <c r="F25" s="137" t="s">
        <v>553</v>
      </c>
      <c r="G25" s="137" t="s">
        <v>518</v>
      </c>
      <c r="H25" s="137" t="s">
        <v>528</v>
      </c>
      <c r="I25" s="137" t="s">
        <v>74</v>
      </c>
      <c r="J25" s="137" t="s">
        <v>529</v>
      </c>
      <c r="K25" s="137" t="s">
        <v>112</v>
      </c>
      <c r="L25" s="137">
        <v>10</v>
      </c>
      <c r="M25" s="137" t="s">
        <v>520</v>
      </c>
      <c r="N25" s="137" t="s">
        <v>98</v>
      </c>
      <c r="O25" s="137" t="s">
        <v>616</v>
      </c>
      <c r="P25" s="137" t="s">
        <v>100</v>
      </c>
      <c r="Q25" s="137" t="s">
        <v>101</v>
      </c>
      <c r="R25" s="137" t="s">
        <v>102</v>
      </c>
      <c r="S25" s="137" t="s">
        <v>103</v>
      </c>
      <c r="T25" s="137" t="s">
        <v>617</v>
      </c>
      <c r="U25" s="137" t="s">
        <v>105</v>
      </c>
      <c r="V25" s="137" t="s">
        <v>107</v>
      </c>
      <c r="W25" s="137" t="s">
        <v>108</v>
      </c>
      <c r="X25" s="137" t="s">
        <v>109</v>
      </c>
      <c r="Y25" s="137" t="s">
        <v>618</v>
      </c>
      <c r="Z25" s="137">
        <v>0</v>
      </c>
    </row>
    <row r="26" spans="1:26" ht="67.5">
      <c r="A26" s="161" t="s">
        <v>816</v>
      </c>
      <c r="B26" s="137" t="s">
        <v>754</v>
      </c>
      <c r="C26" s="137">
        <v>25</v>
      </c>
      <c r="D26" s="137" t="s">
        <v>563</v>
      </c>
      <c r="E26" s="137" t="s">
        <v>561</v>
      </c>
      <c r="F26" s="137" t="s">
        <v>553</v>
      </c>
      <c r="G26" s="137" t="s">
        <v>518</v>
      </c>
      <c r="H26" s="137" t="s">
        <v>528</v>
      </c>
      <c r="I26" s="137" t="s">
        <v>74</v>
      </c>
      <c r="J26" s="137" t="s">
        <v>529</v>
      </c>
      <c r="K26" s="137" t="s">
        <v>113</v>
      </c>
      <c r="L26" s="137">
        <v>10</v>
      </c>
      <c r="M26" s="137" t="s">
        <v>520</v>
      </c>
      <c r="N26" s="137" t="s">
        <v>98</v>
      </c>
      <c r="O26" s="137" t="s">
        <v>616</v>
      </c>
      <c r="P26" s="137" t="s">
        <v>100</v>
      </c>
      <c r="Q26" s="137" t="s">
        <v>101</v>
      </c>
      <c r="R26" s="137" t="s">
        <v>102</v>
      </c>
      <c r="S26" s="137" t="s">
        <v>103</v>
      </c>
      <c r="T26" s="137" t="s">
        <v>617</v>
      </c>
      <c r="U26" s="137" t="s">
        <v>105</v>
      </c>
      <c r="V26" s="137" t="s">
        <v>107</v>
      </c>
      <c r="W26" s="137" t="s">
        <v>108</v>
      </c>
      <c r="X26" s="137" t="s">
        <v>109</v>
      </c>
      <c r="Y26" s="137" t="s">
        <v>618</v>
      </c>
      <c r="Z26" s="137">
        <v>0</v>
      </c>
    </row>
    <row r="27" spans="1:26" ht="67.5">
      <c r="A27" s="161" t="s">
        <v>817</v>
      </c>
      <c r="B27" s="137" t="s">
        <v>754</v>
      </c>
      <c r="C27" s="137">
        <v>26</v>
      </c>
      <c r="D27" s="137" t="s">
        <v>563</v>
      </c>
      <c r="E27" s="137" t="s">
        <v>561</v>
      </c>
      <c r="F27" s="137" t="s">
        <v>553</v>
      </c>
      <c r="G27" s="137" t="s">
        <v>518</v>
      </c>
      <c r="H27" s="137" t="s">
        <v>528</v>
      </c>
      <c r="I27" s="137" t="s">
        <v>74</v>
      </c>
      <c r="J27" s="137" t="s">
        <v>529</v>
      </c>
      <c r="K27" s="137" t="s">
        <v>114</v>
      </c>
      <c r="L27" s="137">
        <v>10</v>
      </c>
      <c r="M27" s="137" t="s">
        <v>520</v>
      </c>
      <c r="N27" s="137" t="s">
        <v>98</v>
      </c>
      <c r="O27" s="137" t="s">
        <v>616</v>
      </c>
      <c r="P27" s="137" t="s">
        <v>100</v>
      </c>
      <c r="Q27" s="137" t="s">
        <v>101</v>
      </c>
      <c r="R27" s="137" t="s">
        <v>102</v>
      </c>
      <c r="S27" s="137" t="s">
        <v>103</v>
      </c>
      <c r="T27" s="137" t="s">
        <v>617</v>
      </c>
      <c r="U27" s="137" t="s">
        <v>105</v>
      </c>
      <c r="V27" s="137" t="s">
        <v>107</v>
      </c>
      <c r="W27" s="137" t="s">
        <v>108</v>
      </c>
      <c r="X27" s="137" t="s">
        <v>109</v>
      </c>
      <c r="Y27" s="137" t="s">
        <v>618</v>
      </c>
      <c r="Z27" s="137">
        <v>0</v>
      </c>
    </row>
    <row r="28" spans="1:26" ht="67.5">
      <c r="A28" s="161" t="s">
        <v>818</v>
      </c>
      <c r="B28" s="137" t="s">
        <v>754</v>
      </c>
      <c r="C28" s="137">
        <v>27</v>
      </c>
      <c r="D28" s="137" t="s">
        <v>563</v>
      </c>
      <c r="E28" s="137" t="s">
        <v>561</v>
      </c>
      <c r="F28" s="137" t="s">
        <v>553</v>
      </c>
      <c r="G28" s="137" t="s">
        <v>518</v>
      </c>
      <c r="H28" s="137" t="s">
        <v>528</v>
      </c>
      <c r="I28" s="137" t="s">
        <v>74</v>
      </c>
      <c r="J28" s="137" t="s">
        <v>529</v>
      </c>
      <c r="K28" s="137" t="s">
        <v>115</v>
      </c>
      <c r="L28" s="137">
        <v>10</v>
      </c>
      <c r="M28" s="137" t="s">
        <v>520</v>
      </c>
      <c r="N28" s="137" t="s">
        <v>98</v>
      </c>
      <c r="O28" s="137" t="s">
        <v>616</v>
      </c>
      <c r="P28" s="137" t="s">
        <v>100</v>
      </c>
      <c r="Q28" s="137" t="s">
        <v>101</v>
      </c>
      <c r="R28" s="137" t="s">
        <v>102</v>
      </c>
      <c r="S28" s="137" t="s">
        <v>103</v>
      </c>
      <c r="T28" s="137" t="s">
        <v>617</v>
      </c>
      <c r="U28" s="137" t="s">
        <v>105</v>
      </c>
      <c r="V28" s="137" t="s">
        <v>107</v>
      </c>
      <c r="W28" s="137" t="s">
        <v>108</v>
      </c>
      <c r="X28" s="137" t="s">
        <v>109</v>
      </c>
      <c r="Y28" s="137" t="s">
        <v>618</v>
      </c>
      <c r="Z28" s="137">
        <v>0</v>
      </c>
    </row>
    <row r="29" spans="1:26" ht="40.5">
      <c r="A29" s="161" t="s">
        <v>868</v>
      </c>
      <c r="B29" s="137" t="s">
        <v>754</v>
      </c>
      <c r="C29" s="137">
        <v>28</v>
      </c>
      <c r="D29" s="137" t="s">
        <v>563</v>
      </c>
      <c r="E29" s="137" t="s">
        <v>561</v>
      </c>
      <c r="F29" s="137" t="s">
        <v>553</v>
      </c>
      <c r="G29" s="137" t="s">
        <v>518</v>
      </c>
      <c r="H29" s="137" t="s">
        <v>528</v>
      </c>
      <c r="I29" s="137" t="s">
        <v>74</v>
      </c>
      <c r="J29" s="137" t="s">
        <v>529</v>
      </c>
      <c r="K29" s="137" t="s">
        <v>116</v>
      </c>
      <c r="L29" s="137">
        <v>10</v>
      </c>
      <c r="M29" s="137" t="s">
        <v>520</v>
      </c>
      <c r="N29" s="137" t="s">
        <v>98</v>
      </c>
      <c r="O29" s="137" t="s">
        <v>616</v>
      </c>
      <c r="P29" s="137" t="s">
        <v>100</v>
      </c>
      <c r="Q29" s="137" t="s">
        <v>101</v>
      </c>
      <c r="R29" s="137" t="s">
        <v>102</v>
      </c>
      <c r="S29" s="137" t="s">
        <v>103</v>
      </c>
      <c r="T29" s="137" t="s">
        <v>617</v>
      </c>
      <c r="U29" s="137" t="s">
        <v>105</v>
      </c>
      <c r="V29" s="137" t="s">
        <v>107</v>
      </c>
      <c r="W29" s="137" t="s">
        <v>108</v>
      </c>
      <c r="X29" s="137" t="s">
        <v>109</v>
      </c>
      <c r="Y29" s="137" t="s">
        <v>618</v>
      </c>
      <c r="Z29" s="137">
        <v>0</v>
      </c>
    </row>
  </sheetData>
  <phoneticPr fontId="27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AG14"/>
  <sheetViews>
    <sheetView workbookViewId="0">
      <pane ySplit="1" topLeftCell="A8" activePane="bottomLeft" state="frozen"/>
      <selection pane="bottomLeft" activeCell="H11" sqref="H11"/>
    </sheetView>
  </sheetViews>
  <sheetFormatPr defaultRowHeight="13.5"/>
  <cols>
    <col min="1" max="1" width="53" style="134" customWidth="1"/>
    <col min="2" max="2" width="10.875" style="134" bestFit="1" customWidth="1"/>
    <col min="3" max="3" width="8.75" style="134" bestFit="1" customWidth="1"/>
    <col min="4" max="5" width="11.625" style="134" bestFit="1" customWidth="1"/>
    <col min="6" max="7" width="9.875" style="134" bestFit="1" customWidth="1"/>
    <col min="8" max="8" width="13.625" style="134" bestFit="1" customWidth="1"/>
    <col min="9" max="9" width="9.875" style="134" bestFit="1" customWidth="1"/>
    <col min="10" max="10" width="10.625" style="134" bestFit="1" customWidth="1"/>
    <col min="11" max="11" width="10.375" style="134" bestFit="1" customWidth="1"/>
    <col min="12" max="17" width="13.375" style="134" bestFit="1" customWidth="1"/>
    <col min="18" max="18" width="9.875" style="134" bestFit="1" customWidth="1"/>
    <col min="19" max="19" width="19.125" style="134" bestFit="1" customWidth="1"/>
    <col min="20" max="20" width="6.25" style="134" bestFit="1" customWidth="1"/>
    <col min="21" max="21" width="11.625" style="134" bestFit="1" customWidth="1"/>
    <col min="22" max="22" width="19.875" style="134" bestFit="1" customWidth="1"/>
    <col min="23" max="23" width="16.625" style="134" bestFit="1" customWidth="1"/>
    <col min="24" max="24" width="18.75" style="134" bestFit="1" customWidth="1"/>
    <col min="25" max="25" width="10" style="134" bestFit="1" customWidth="1"/>
    <col min="26" max="26" width="10.5" style="134" bestFit="1" customWidth="1"/>
    <col min="27" max="27" width="19.875" style="134" bestFit="1" customWidth="1"/>
    <col min="28" max="28" width="15.5" style="134" bestFit="1" customWidth="1"/>
    <col min="29" max="29" width="17.625" style="134" bestFit="1" customWidth="1"/>
    <col min="30" max="30" width="9" style="134"/>
    <col min="31" max="31" width="7.75" style="134" bestFit="1" customWidth="1"/>
    <col min="32" max="32" width="19.875" style="134" bestFit="1" customWidth="1"/>
    <col min="33" max="33" width="7.375" style="134" bestFit="1" customWidth="1"/>
    <col min="34" max="16384" width="9" style="134"/>
  </cols>
  <sheetData>
    <row r="1" spans="1:33">
      <c r="A1" s="135" t="s">
        <v>126</v>
      </c>
      <c r="B1" s="135" t="s">
        <v>127</v>
      </c>
      <c r="C1" s="151" t="s">
        <v>699</v>
      </c>
      <c r="D1" s="151" t="s">
        <v>534</v>
      </c>
      <c r="E1" s="152" t="s">
        <v>535</v>
      </c>
      <c r="F1" s="152" t="s">
        <v>701</v>
      </c>
      <c r="G1" s="152" t="s">
        <v>133</v>
      </c>
      <c r="H1" s="152" t="s">
        <v>134</v>
      </c>
      <c r="I1" s="152" t="s">
        <v>132</v>
      </c>
      <c r="J1" s="152" t="s">
        <v>702</v>
      </c>
      <c r="K1" s="152" t="s">
        <v>670</v>
      </c>
      <c r="L1" s="152" t="s">
        <v>703</v>
      </c>
      <c r="M1" s="152" t="s">
        <v>704</v>
      </c>
      <c r="N1" s="152" t="s">
        <v>705</v>
      </c>
      <c r="O1" s="152" t="s">
        <v>706</v>
      </c>
      <c r="P1" s="152" t="s">
        <v>707</v>
      </c>
      <c r="Q1" s="152" t="s">
        <v>708</v>
      </c>
      <c r="R1" s="152" t="s">
        <v>709</v>
      </c>
      <c r="S1" s="152" t="s">
        <v>710</v>
      </c>
      <c r="T1" s="152" t="s">
        <v>157</v>
      </c>
      <c r="U1" s="152" t="s">
        <v>158</v>
      </c>
      <c r="V1" s="152" t="s">
        <v>159</v>
      </c>
      <c r="W1" s="152" t="s">
        <v>160</v>
      </c>
      <c r="X1" s="152" t="s">
        <v>161</v>
      </c>
      <c r="Y1" s="152" t="s">
        <v>162</v>
      </c>
      <c r="Z1" s="152" t="s">
        <v>163</v>
      </c>
      <c r="AA1" s="152" t="s">
        <v>164</v>
      </c>
      <c r="AB1" s="152" t="s">
        <v>165</v>
      </c>
      <c r="AC1" s="152" t="s">
        <v>166</v>
      </c>
      <c r="AD1" s="152" t="s">
        <v>167</v>
      </c>
      <c r="AE1" s="152" t="s">
        <v>168</v>
      </c>
      <c r="AF1" s="152" t="s">
        <v>189</v>
      </c>
      <c r="AG1" s="152" t="s">
        <v>169</v>
      </c>
    </row>
    <row r="2" spans="1:33" ht="67.5">
      <c r="A2" s="161" t="s">
        <v>793</v>
      </c>
      <c r="B2" s="137" t="s">
        <v>754</v>
      </c>
      <c r="C2" s="160" t="s">
        <v>866</v>
      </c>
      <c r="D2" s="137" t="s">
        <v>713</v>
      </c>
      <c r="E2" s="137" t="s">
        <v>714</v>
      </c>
      <c r="F2" s="137" t="s">
        <v>553</v>
      </c>
      <c r="G2" s="137" t="s">
        <v>716</v>
      </c>
      <c r="H2" s="137" t="s">
        <v>528</v>
      </c>
      <c r="I2" s="137" t="s">
        <v>521</v>
      </c>
      <c r="J2" s="137">
        <v>8</v>
      </c>
      <c r="K2" s="137" t="s">
        <v>719</v>
      </c>
      <c r="L2" s="137" t="s">
        <v>97</v>
      </c>
      <c r="M2" s="137" t="s">
        <v>98</v>
      </c>
      <c r="N2" s="137" t="s">
        <v>99</v>
      </c>
      <c r="O2" s="137" t="s">
        <v>100</v>
      </c>
      <c r="P2" s="137" t="s">
        <v>101</v>
      </c>
      <c r="Q2" s="137" t="s">
        <v>102</v>
      </c>
      <c r="R2" s="137" t="s">
        <v>103</v>
      </c>
      <c r="S2" s="137" t="s">
        <v>746</v>
      </c>
      <c r="T2" s="137" t="s">
        <v>520</v>
      </c>
      <c r="U2" s="137" t="s">
        <v>105</v>
      </c>
      <c r="V2" s="137" t="s">
        <v>532</v>
      </c>
      <c r="W2" s="137" t="s">
        <v>108</v>
      </c>
      <c r="X2" s="137" t="s">
        <v>109</v>
      </c>
      <c r="Y2" s="137" t="s">
        <v>110</v>
      </c>
      <c r="Z2" s="137" t="s">
        <v>111</v>
      </c>
      <c r="AA2" s="137" t="s">
        <v>711</v>
      </c>
      <c r="AB2" s="137" t="s">
        <v>113</v>
      </c>
      <c r="AC2" s="137" t="s">
        <v>114</v>
      </c>
      <c r="AD2" s="137" t="s">
        <v>115</v>
      </c>
      <c r="AE2" s="137" t="s">
        <v>116</v>
      </c>
      <c r="AF2" s="137" t="s">
        <v>712</v>
      </c>
      <c r="AG2" s="137">
        <v>0</v>
      </c>
    </row>
    <row r="3" spans="1:33" ht="148.5">
      <c r="A3" s="162" t="s">
        <v>867</v>
      </c>
      <c r="B3" s="137" t="s">
        <v>754</v>
      </c>
      <c r="C3" s="137" t="s">
        <v>619</v>
      </c>
      <c r="D3" s="137" t="s">
        <v>713</v>
      </c>
      <c r="E3" s="160" t="s">
        <v>715</v>
      </c>
      <c r="F3" s="137" t="s">
        <v>553</v>
      </c>
      <c r="G3" s="137" t="s">
        <v>716</v>
      </c>
      <c r="H3" s="137" t="s">
        <v>528</v>
      </c>
      <c r="I3" s="137" t="s">
        <v>521</v>
      </c>
      <c r="J3" s="137">
        <v>8</v>
      </c>
      <c r="K3" s="137" t="s">
        <v>719</v>
      </c>
      <c r="L3" s="137" t="s">
        <v>97</v>
      </c>
      <c r="M3" s="137" t="s">
        <v>98</v>
      </c>
      <c r="N3" s="137" t="s">
        <v>99</v>
      </c>
      <c r="O3" s="137" t="s">
        <v>100</v>
      </c>
      <c r="P3" s="137" t="s">
        <v>101</v>
      </c>
      <c r="Q3" s="137" t="s">
        <v>102</v>
      </c>
      <c r="R3" s="137" t="s">
        <v>103</v>
      </c>
      <c r="S3" s="137" t="s">
        <v>746</v>
      </c>
      <c r="T3" s="137" t="s">
        <v>520</v>
      </c>
      <c r="U3" s="137" t="s">
        <v>105</v>
      </c>
      <c r="V3" s="137" t="s">
        <v>532</v>
      </c>
      <c r="W3" s="137" t="s">
        <v>108</v>
      </c>
      <c r="X3" s="137" t="s">
        <v>109</v>
      </c>
      <c r="Y3" s="137" t="s">
        <v>110</v>
      </c>
      <c r="Z3" s="137" t="s">
        <v>111</v>
      </c>
      <c r="AA3" s="137" t="s">
        <v>711</v>
      </c>
      <c r="AB3" s="137" t="s">
        <v>113</v>
      </c>
      <c r="AC3" s="137" t="s">
        <v>114</v>
      </c>
      <c r="AD3" s="137" t="s">
        <v>115</v>
      </c>
      <c r="AE3" s="137" t="s">
        <v>116</v>
      </c>
      <c r="AF3" s="137" t="s">
        <v>712</v>
      </c>
      <c r="AG3" s="137">
        <v>0</v>
      </c>
    </row>
    <row r="4" spans="1:33" ht="94.5">
      <c r="A4" s="162" t="s">
        <v>794</v>
      </c>
      <c r="B4" s="137" t="s">
        <v>754</v>
      </c>
      <c r="C4" s="137" t="s">
        <v>68</v>
      </c>
      <c r="D4" s="160" t="s">
        <v>715</v>
      </c>
      <c r="E4" s="137" t="s">
        <v>561</v>
      </c>
      <c r="F4" s="137" t="s">
        <v>553</v>
      </c>
      <c r="G4" s="137" t="s">
        <v>604</v>
      </c>
      <c r="H4" s="137" t="s">
        <v>528</v>
      </c>
      <c r="I4" s="137" t="s">
        <v>521</v>
      </c>
      <c r="J4" s="137">
        <v>8</v>
      </c>
      <c r="K4" s="137" t="s">
        <v>70</v>
      </c>
      <c r="L4" s="137" t="s">
        <v>97</v>
      </c>
      <c r="M4" s="137" t="s">
        <v>98</v>
      </c>
      <c r="N4" s="137" t="s">
        <v>99</v>
      </c>
      <c r="O4" s="137" t="s">
        <v>100</v>
      </c>
      <c r="P4" s="137" t="s">
        <v>101</v>
      </c>
      <c r="Q4" s="137" t="s">
        <v>102</v>
      </c>
      <c r="R4" s="137" t="s">
        <v>103</v>
      </c>
      <c r="S4" s="137" t="s">
        <v>565</v>
      </c>
      <c r="T4" s="137" t="s">
        <v>520</v>
      </c>
      <c r="U4" s="137" t="s">
        <v>105</v>
      </c>
      <c r="V4" s="137" t="s">
        <v>532</v>
      </c>
      <c r="W4" s="137" t="s">
        <v>108</v>
      </c>
      <c r="X4" s="137" t="s">
        <v>109</v>
      </c>
      <c r="Y4" s="137" t="s">
        <v>110</v>
      </c>
      <c r="Z4" s="137" t="s">
        <v>111</v>
      </c>
      <c r="AA4" s="137" t="s">
        <v>711</v>
      </c>
      <c r="AB4" s="137" t="s">
        <v>113</v>
      </c>
      <c r="AC4" s="137" t="s">
        <v>114</v>
      </c>
      <c r="AD4" s="137" t="s">
        <v>115</v>
      </c>
      <c r="AE4" s="137" t="s">
        <v>116</v>
      </c>
      <c r="AF4" s="137" t="s">
        <v>712</v>
      </c>
      <c r="AG4" s="137">
        <v>0</v>
      </c>
    </row>
    <row r="5" spans="1:33" ht="94.5">
      <c r="A5" s="161" t="s">
        <v>795</v>
      </c>
      <c r="B5" s="137" t="s">
        <v>754</v>
      </c>
      <c r="C5" s="137" t="s">
        <v>69</v>
      </c>
      <c r="D5" s="137" t="s">
        <v>563</v>
      </c>
      <c r="E5" s="160" t="s">
        <v>713</v>
      </c>
      <c r="F5" s="137" t="s">
        <v>553</v>
      </c>
      <c r="G5" s="137" t="s">
        <v>604</v>
      </c>
      <c r="H5" s="137" t="s">
        <v>528</v>
      </c>
      <c r="I5" s="137" t="s">
        <v>521</v>
      </c>
      <c r="J5" s="137">
        <v>8</v>
      </c>
      <c r="K5" s="137" t="s">
        <v>70</v>
      </c>
      <c r="L5" s="137" t="s">
        <v>97</v>
      </c>
      <c r="M5" s="137" t="s">
        <v>98</v>
      </c>
      <c r="N5" s="137" t="s">
        <v>99</v>
      </c>
      <c r="O5" s="137" t="s">
        <v>100</v>
      </c>
      <c r="P5" s="137" t="s">
        <v>101</v>
      </c>
      <c r="Q5" s="137" t="s">
        <v>102</v>
      </c>
      <c r="R5" s="137" t="s">
        <v>103</v>
      </c>
      <c r="S5" s="137" t="s">
        <v>565</v>
      </c>
      <c r="T5" s="137" t="s">
        <v>520</v>
      </c>
      <c r="U5" s="137" t="s">
        <v>105</v>
      </c>
      <c r="V5" s="137" t="s">
        <v>532</v>
      </c>
      <c r="W5" s="137" t="s">
        <v>108</v>
      </c>
      <c r="X5" s="137" t="s">
        <v>109</v>
      </c>
      <c r="Y5" s="137" t="s">
        <v>110</v>
      </c>
      <c r="Z5" s="137" t="s">
        <v>111</v>
      </c>
      <c r="AA5" s="137" t="s">
        <v>711</v>
      </c>
      <c r="AB5" s="137" t="s">
        <v>113</v>
      </c>
      <c r="AC5" s="137" t="s">
        <v>114</v>
      </c>
      <c r="AD5" s="137" t="s">
        <v>115</v>
      </c>
      <c r="AE5" s="137" t="s">
        <v>116</v>
      </c>
      <c r="AF5" s="137" t="s">
        <v>712</v>
      </c>
      <c r="AG5" s="137">
        <v>0</v>
      </c>
    </row>
    <row r="6" spans="1:33" ht="94.5">
      <c r="A6" s="161" t="s">
        <v>796</v>
      </c>
      <c r="B6" s="137" t="s">
        <v>754</v>
      </c>
      <c r="C6" s="137" t="s">
        <v>72</v>
      </c>
      <c r="D6" s="160" t="s">
        <v>714</v>
      </c>
      <c r="E6" s="137" t="s">
        <v>561</v>
      </c>
      <c r="F6" s="137" t="s">
        <v>553</v>
      </c>
      <c r="G6" s="137" t="s">
        <v>604</v>
      </c>
      <c r="H6" s="137" t="s">
        <v>528</v>
      </c>
      <c r="I6" s="137" t="s">
        <v>521</v>
      </c>
      <c r="J6" s="137">
        <v>8</v>
      </c>
      <c r="K6" s="137" t="s">
        <v>70</v>
      </c>
      <c r="L6" s="137" t="s">
        <v>97</v>
      </c>
      <c r="M6" s="137" t="s">
        <v>98</v>
      </c>
      <c r="N6" s="137" t="s">
        <v>99</v>
      </c>
      <c r="O6" s="137" t="s">
        <v>100</v>
      </c>
      <c r="P6" s="137" t="s">
        <v>101</v>
      </c>
      <c r="Q6" s="137" t="s">
        <v>102</v>
      </c>
      <c r="R6" s="137" t="s">
        <v>103</v>
      </c>
      <c r="S6" s="137" t="s">
        <v>565</v>
      </c>
      <c r="T6" s="137" t="s">
        <v>520</v>
      </c>
      <c r="U6" s="137" t="s">
        <v>105</v>
      </c>
      <c r="V6" s="137" t="s">
        <v>532</v>
      </c>
      <c r="W6" s="137" t="s">
        <v>108</v>
      </c>
      <c r="X6" s="137" t="s">
        <v>109</v>
      </c>
      <c r="Y6" s="137" t="s">
        <v>110</v>
      </c>
      <c r="Z6" s="137" t="s">
        <v>111</v>
      </c>
      <c r="AA6" s="137" t="s">
        <v>711</v>
      </c>
      <c r="AB6" s="137" t="s">
        <v>113</v>
      </c>
      <c r="AC6" s="137" t="s">
        <v>114</v>
      </c>
      <c r="AD6" s="137" t="s">
        <v>115</v>
      </c>
      <c r="AE6" s="137" t="s">
        <v>116</v>
      </c>
      <c r="AF6" s="137" t="s">
        <v>712</v>
      </c>
      <c r="AG6" s="137">
        <v>0</v>
      </c>
    </row>
    <row r="7" spans="1:33" ht="27">
      <c r="A7" s="162" t="s">
        <v>759</v>
      </c>
      <c r="B7" s="137" t="s">
        <v>754</v>
      </c>
      <c r="C7" s="137" t="s">
        <v>73</v>
      </c>
      <c r="D7" s="160" t="s">
        <v>753</v>
      </c>
      <c r="E7" s="160" t="s">
        <v>560</v>
      </c>
      <c r="F7" s="137" t="s">
        <v>553</v>
      </c>
      <c r="G7" s="137" t="s">
        <v>604</v>
      </c>
      <c r="H7" s="137" t="s">
        <v>528</v>
      </c>
      <c r="I7" s="137" t="s">
        <v>521</v>
      </c>
      <c r="J7" s="137">
        <v>8</v>
      </c>
      <c r="K7" s="137" t="s">
        <v>70</v>
      </c>
      <c r="L7" s="137" t="s">
        <v>97</v>
      </c>
      <c r="M7" s="137" t="s">
        <v>98</v>
      </c>
      <c r="N7" s="137" t="s">
        <v>99</v>
      </c>
      <c r="O7" s="137" t="s">
        <v>100</v>
      </c>
      <c r="P7" s="137" t="s">
        <v>101</v>
      </c>
      <c r="Q7" s="137" t="s">
        <v>102</v>
      </c>
      <c r="R7" s="137" t="s">
        <v>103</v>
      </c>
      <c r="S7" s="137" t="s">
        <v>565</v>
      </c>
      <c r="T7" s="137" t="s">
        <v>520</v>
      </c>
      <c r="U7" s="137" t="s">
        <v>105</v>
      </c>
      <c r="V7" s="137" t="s">
        <v>532</v>
      </c>
      <c r="W7" s="137" t="s">
        <v>108</v>
      </c>
      <c r="X7" s="137" t="s">
        <v>109</v>
      </c>
      <c r="Y7" s="137" t="s">
        <v>110</v>
      </c>
      <c r="Z7" s="137" t="s">
        <v>111</v>
      </c>
      <c r="AA7" s="137" t="s">
        <v>711</v>
      </c>
      <c r="AB7" s="137" t="s">
        <v>113</v>
      </c>
      <c r="AC7" s="137" t="s">
        <v>114</v>
      </c>
      <c r="AD7" s="137" t="s">
        <v>115</v>
      </c>
      <c r="AE7" s="137" t="s">
        <v>116</v>
      </c>
      <c r="AF7" s="137" t="s">
        <v>712</v>
      </c>
      <c r="AG7" s="137">
        <v>0</v>
      </c>
    </row>
    <row r="8" spans="1:33" ht="67.5">
      <c r="A8" s="161" t="s">
        <v>797</v>
      </c>
      <c r="B8" s="137" t="s">
        <v>754</v>
      </c>
      <c r="C8" s="137" t="s">
        <v>74</v>
      </c>
      <c r="D8" s="137" t="s">
        <v>563</v>
      </c>
      <c r="E8" s="137" t="s">
        <v>561</v>
      </c>
      <c r="F8" s="137" t="s">
        <v>553</v>
      </c>
      <c r="G8" s="160" t="s">
        <v>717</v>
      </c>
      <c r="H8" s="137" t="s">
        <v>528</v>
      </c>
      <c r="I8" s="137" t="s">
        <v>521</v>
      </c>
      <c r="J8" s="137">
        <v>8</v>
      </c>
      <c r="K8" s="137" t="s">
        <v>70</v>
      </c>
      <c r="L8" s="137" t="s">
        <v>97</v>
      </c>
      <c r="M8" s="137" t="s">
        <v>98</v>
      </c>
      <c r="N8" s="137" t="s">
        <v>99</v>
      </c>
      <c r="O8" s="137" t="s">
        <v>100</v>
      </c>
      <c r="P8" s="137" t="s">
        <v>101</v>
      </c>
      <c r="Q8" s="137" t="s">
        <v>102</v>
      </c>
      <c r="R8" s="137" t="s">
        <v>103</v>
      </c>
      <c r="S8" s="137" t="s">
        <v>565</v>
      </c>
      <c r="T8" s="137" t="s">
        <v>520</v>
      </c>
      <c r="U8" s="137" t="s">
        <v>105</v>
      </c>
      <c r="V8" s="137" t="s">
        <v>532</v>
      </c>
      <c r="W8" s="137" t="s">
        <v>108</v>
      </c>
      <c r="X8" s="137" t="s">
        <v>109</v>
      </c>
      <c r="Y8" s="137" t="s">
        <v>110</v>
      </c>
      <c r="Z8" s="137" t="s">
        <v>111</v>
      </c>
      <c r="AA8" s="137" t="s">
        <v>711</v>
      </c>
      <c r="AB8" s="137" t="s">
        <v>113</v>
      </c>
      <c r="AC8" s="137" t="s">
        <v>114</v>
      </c>
      <c r="AD8" s="137" t="s">
        <v>115</v>
      </c>
      <c r="AE8" s="137" t="s">
        <v>116</v>
      </c>
      <c r="AF8" s="137" t="s">
        <v>712</v>
      </c>
      <c r="AG8" s="137">
        <v>0</v>
      </c>
    </row>
    <row r="9" spans="1:33" ht="67.5">
      <c r="A9" s="161" t="s">
        <v>1126</v>
      </c>
      <c r="B9" s="137" t="s">
        <v>754</v>
      </c>
      <c r="C9" s="137" t="s">
        <v>111</v>
      </c>
      <c r="D9" s="137" t="s">
        <v>563</v>
      </c>
      <c r="E9" s="137" t="s">
        <v>561</v>
      </c>
      <c r="F9" s="137" t="s">
        <v>553</v>
      </c>
      <c r="G9" s="137" t="s">
        <v>604</v>
      </c>
      <c r="H9" s="137" t="s">
        <v>528</v>
      </c>
      <c r="I9" s="137" t="s">
        <v>521</v>
      </c>
      <c r="J9" s="137">
        <v>8</v>
      </c>
      <c r="K9" s="137" t="s">
        <v>70</v>
      </c>
      <c r="L9" s="137" t="s">
        <v>97</v>
      </c>
      <c r="M9" s="137" t="s">
        <v>98</v>
      </c>
      <c r="N9" s="137" t="s">
        <v>99</v>
      </c>
      <c r="O9" s="137" t="s">
        <v>100</v>
      </c>
      <c r="P9" s="137" t="s">
        <v>101</v>
      </c>
      <c r="Q9" s="137" t="s">
        <v>102</v>
      </c>
      <c r="R9" s="137" t="s">
        <v>103</v>
      </c>
      <c r="S9" s="160" t="s">
        <v>565</v>
      </c>
      <c r="T9" s="137" t="s">
        <v>520</v>
      </c>
      <c r="U9" s="137" t="s">
        <v>105</v>
      </c>
      <c r="V9" s="137" t="s">
        <v>532</v>
      </c>
      <c r="W9" s="137" t="s">
        <v>108</v>
      </c>
      <c r="X9" s="137" t="s">
        <v>109</v>
      </c>
      <c r="Y9" s="137" t="s">
        <v>110</v>
      </c>
      <c r="Z9" s="137" t="s">
        <v>111</v>
      </c>
      <c r="AA9" s="137" t="s">
        <v>711</v>
      </c>
      <c r="AB9" s="137" t="s">
        <v>113</v>
      </c>
      <c r="AC9" s="137" t="s">
        <v>114</v>
      </c>
      <c r="AD9" s="137" t="s">
        <v>115</v>
      </c>
      <c r="AE9" s="137" t="s">
        <v>116</v>
      </c>
      <c r="AF9" s="137" t="s">
        <v>712</v>
      </c>
      <c r="AG9" s="137">
        <v>0</v>
      </c>
    </row>
    <row r="10" spans="1:33" ht="67.5">
      <c r="A10" s="161" t="s">
        <v>1127</v>
      </c>
      <c r="B10" s="137" t="s">
        <v>754</v>
      </c>
      <c r="C10" s="137" t="s">
        <v>112</v>
      </c>
      <c r="D10" s="137" t="s">
        <v>563</v>
      </c>
      <c r="E10" s="137" t="s">
        <v>561</v>
      </c>
      <c r="F10" s="137" t="s">
        <v>553</v>
      </c>
      <c r="G10" s="137" t="s">
        <v>604</v>
      </c>
      <c r="H10" s="137" t="s">
        <v>528</v>
      </c>
      <c r="I10" s="137" t="s">
        <v>521</v>
      </c>
      <c r="J10" s="137">
        <v>8</v>
      </c>
      <c r="K10" s="137" t="s">
        <v>70</v>
      </c>
      <c r="L10" s="137" t="s">
        <v>97</v>
      </c>
      <c r="M10" s="137" t="s">
        <v>98</v>
      </c>
      <c r="N10" s="137" t="s">
        <v>99</v>
      </c>
      <c r="O10" s="137" t="s">
        <v>100</v>
      </c>
      <c r="P10" s="137" t="s">
        <v>101</v>
      </c>
      <c r="Q10" s="137" t="s">
        <v>102</v>
      </c>
      <c r="R10" s="137" t="s">
        <v>103</v>
      </c>
      <c r="S10" s="160" t="s">
        <v>747</v>
      </c>
      <c r="T10" s="137" t="s">
        <v>520</v>
      </c>
      <c r="U10" s="137" t="s">
        <v>105</v>
      </c>
      <c r="V10" s="137" t="s">
        <v>532</v>
      </c>
      <c r="W10" s="137" t="s">
        <v>108</v>
      </c>
      <c r="X10" s="137" t="s">
        <v>109</v>
      </c>
      <c r="Y10" s="137" t="s">
        <v>110</v>
      </c>
      <c r="Z10" s="137" t="s">
        <v>111</v>
      </c>
      <c r="AA10" s="137" t="s">
        <v>711</v>
      </c>
      <c r="AB10" s="137" t="s">
        <v>113</v>
      </c>
      <c r="AC10" s="137" t="s">
        <v>114</v>
      </c>
      <c r="AD10" s="137" t="s">
        <v>115</v>
      </c>
      <c r="AE10" s="137" t="s">
        <v>116</v>
      </c>
      <c r="AF10" s="137" t="s">
        <v>712</v>
      </c>
      <c r="AG10" s="137">
        <v>0</v>
      </c>
    </row>
    <row r="11" spans="1:33" ht="67.5">
      <c r="A11" s="161" t="s">
        <v>1128</v>
      </c>
      <c r="B11" s="137" t="s">
        <v>754</v>
      </c>
      <c r="C11" s="137" t="s">
        <v>113</v>
      </c>
      <c r="D11" s="137" t="s">
        <v>563</v>
      </c>
      <c r="E11" s="137" t="s">
        <v>561</v>
      </c>
      <c r="F11" s="137" t="s">
        <v>553</v>
      </c>
      <c r="G11" s="137" t="s">
        <v>604</v>
      </c>
      <c r="H11" s="137" t="s">
        <v>528</v>
      </c>
      <c r="I11" s="137" t="s">
        <v>521</v>
      </c>
      <c r="J11" s="137">
        <v>8</v>
      </c>
      <c r="K11" s="137" t="s">
        <v>70</v>
      </c>
      <c r="L11" s="137" t="s">
        <v>97</v>
      </c>
      <c r="M11" s="137" t="s">
        <v>98</v>
      </c>
      <c r="N11" s="137" t="s">
        <v>99</v>
      </c>
      <c r="O11" s="137" t="s">
        <v>100</v>
      </c>
      <c r="P11" s="137" t="s">
        <v>101</v>
      </c>
      <c r="Q11" s="137" t="s">
        <v>102</v>
      </c>
      <c r="R11" s="137" t="s">
        <v>103</v>
      </c>
      <c r="S11" s="160" t="s">
        <v>604</v>
      </c>
      <c r="T11" s="137" t="s">
        <v>520</v>
      </c>
      <c r="U11" s="137" t="s">
        <v>105</v>
      </c>
      <c r="V11" s="137" t="s">
        <v>532</v>
      </c>
      <c r="W11" s="137" t="s">
        <v>108</v>
      </c>
      <c r="X11" s="137" t="s">
        <v>109</v>
      </c>
      <c r="Y11" s="137" t="s">
        <v>110</v>
      </c>
      <c r="Z11" s="137" t="s">
        <v>111</v>
      </c>
      <c r="AA11" s="137" t="s">
        <v>711</v>
      </c>
      <c r="AB11" s="137" t="s">
        <v>113</v>
      </c>
      <c r="AC11" s="137" t="s">
        <v>114</v>
      </c>
      <c r="AD11" s="137" t="s">
        <v>115</v>
      </c>
      <c r="AE11" s="137" t="s">
        <v>116</v>
      </c>
      <c r="AF11" s="137" t="s">
        <v>712</v>
      </c>
      <c r="AG11" s="137">
        <v>0</v>
      </c>
    </row>
    <row r="12" spans="1:33" ht="67.5">
      <c r="A12" s="161" t="s">
        <v>1129</v>
      </c>
      <c r="B12" s="137" t="s">
        <v>754</v>
      </c>
      <c r="C12" s="137" t="s">
        <v>114</v>
      </c>
      <c r="D12" s="137" t="s">
        <v>563</v>
      </c>
      <c r="E12" s="137" t="s">
        <v>561</v>
      </c>
      <c r="F12" s="137" t="s">
        <v>553</v>
      </c>
      <c r="G12" s="137" t="s">
        <v>604</v>
      </c>
      <c r="H12" s="137" t="s">
        <v>528</v>
      </c>
      <c r="I12" s="137" t="s">
        <v>521</v>
      </c>
      <c r="J12" s="137">
        <v>8</v>
      </c>
      <c r="K12" s="137" t="s">
        <v>70</v>
      </c>
      <c r="L12" s="137" t="s">
        <v>97</v>
      </c>
      <c r="M12" s="137" t="s">
        <v>98</v>
      </c>
      <c r="N12" s="137" t="s">
        <v>99</v>
      </c>
      <c r="O12" s="137" t="s">
        <v>100</v>
      </c>
      <c r="P12" s="137" t="s">
        <v>101</v>
      </c>
      <c r="Q12" s="137" t="s">
        <v>102</v>
      </c>
      <c r="R12" s="137" t="s">
        <v>103</v>
      </c>
      <c r="S12" s="160" t="s">
        <v>553</v>
      </c>
      <c r="T12" s="137" t="s">
        <v>520</v>
      </c>
      <c r="U12" s="137" t="s">
        <v>105</v>
      </c>
      <c r="V12" s="137" t="s">
        <v>532</v>
      </c>
      <c r="W12" s="137" t="s">
        <v>108</v>
      </c>
      <c r="X12" s="137" t="s">
        <v>109</v>
      </c>
      <c r="Y12" s="137" t="s">
        <v>110</v>
      </c>
      <c r="Z12" s="137" t="s">
        <v>111</v>
      </c>
      <c r="AA12" s="137" t="s">
        <v>711</v>
      </c>
      <c r="AB12" s="137" t="s">
        <v>113</v>
      </c>
      <c r="AC12" s="137" t="s">
        <v>114</v>
      </c>
      <c r="AD12" s="137" t="s">
        <v>115</v>
      </c>
      <c r="AE12" s="137" t="s">
        <v>116</v>
      </c>
      <c r="AF12" s="137" t="s">
        <v>712</v>
      </c>
      <c r="AG12" s="137">
        <v>0</v>
      </c>
    </row>
    <row r="13" spans="1:33" ht="67.5">
      <c r="A13" s="161" t="s">
        <v>1130</v>
      </c>
      <c r="B13" s="137" t="s">
        <v>754</v>
      </c>
      <c r="C13" s="137" t="s">
        <v>115</v>
      </c>
      <c r="D13" s="137" t="s">
        <v>563</v>
      </c>
      <c r="E13" s="137" t="s">
        <v>561</v>
      </c>
      <c r="F13" s="137" t="s">
        <v>553</v>
      </c>
      <c r="G13" s="137" t="s">
        <v>604</v>
      </c>
      <c r="H13" s="137" t="s">
        <v>528</v>
      </c>
      <c r="I13" s="137" t="s">
        <v>521</v>
      </c>
      <c r="J13" s="137">
        <v>8</v>
      </c>
      <c r="K13" s="137" t="s">
        <v>70</v>
      </c>
      <c r="L13" s="137" t="s">
        <v>97</v>
      </c>
      <c r="M13" s="137" t="s">
        <v>98</v>
      </c>
      <c r="N13" s="137" t="s">
        <v>99</v>
      </c>
      <c r="O13" s="137" t="s">
        <v>100</v>
      </c>
      <c r="P13" s="137" t="s">
        <v>101</v>
      </c>
      <c r="Q13" s="137" t="s">
        <v>102</v>
      </c>
      <c r="R13" s="137" t="s">
        <v>103</v>
      </c>
      <c r="S13" s="160" t="s">
        <v>518</v>
      </c>
      <c r="T13" s="137" t="s">
        <v>520</v>
      </c>
      <c r="U13" s="137" t="s">
        <v>105</v>
      </c>
      <c r="V13" s="137" t="s">
        <v>532</v>
      </c>
      <c r="W13" s="137" t="s">
        <v>108</v>
      </c>
      <c r="X13" s="137" t="s">
        <v>109</v>
      </c>
      <c r="Y13" s="137" t="s">
        <v>110</v>
      </c>
      <c r="Z13" s="137" t="s">
        <v>111</v>
      </c>
      <c r="AA13" s="137" t="s">
        <v>711</v>
      </c>
      <c r="AB13" s="137" t="s">
        <v>113</v>
      </c>
      <c r="AC13" s="137" t="s">
        <v>114</v>
      </c>
      <c r="AD13" s="137" t="s">
        <v>115</v>
      </c>
      <c r="AE13" s="137" t="s">
        <v>116</v>
      </c>
      <c r="AF13" s="137" t="s">
        <v>712</v>
      </c>
      <c r="AG13" s="137">
        <v>0</v>
      </c>
    </row>
    <row r="14" spans="1:33" ht="42.75">
      <c r="A14" s="156" t="s">
        <v>868</v>
      </c>
      <c r="B14" s="137" t="s">
        <v>754</v>
      </c>
      <c r="C14" s="137" t="s">
        <v>116</v>
      </c>
      <c r="D14" s="137" t="s">
        <v>563</v>
      </c>
      <c r="E14" s="137" t="s">
        <v>561</v>
      </c>
      <c r="F14" s="137" t="s">
        <v>553</v>
      </c>
      <c r="G14" s="137" t="s">
        <v>604</v>
      </c>
      <c r="H14" s="137" t="s">
        <v>528</v>
      </c>
      <c r="I14" s="137" t="s">
        <v>521</v>
      </c>
      <c r="J14" s="137">
        <v>8</v>
      </c>
      <c r="K14" s="137" t="s">
        <v>70</v>
      </c>
      <c r="L14" s="137" t="s">
        <v>97</v>
      </c>
      <c r="M14" s="137" t="s">
        <v>98</v>
      </c>
      <c r="N14" s="137" t="s">
        <v>99</v>
      </c>
      <c r="O14" s="137" t="s">
        <v>100</v>
      </c>
      <c r="P14" s="137" t="s">
        <v>101</v>
      </c>
      <c r="Q14" s="137" t="s">
        <v>102</v>
      </c>
      <c r="R14" s="137" t="s">
        <v>103</v>
      </c>
      <c r="S14" s="137" t="s">
        <v>565</v>
      </c>
      <c r="T14" s="137" t="s">
        <v>520</v>
      </c>
      <c r="U14" s="137" t="s">
        <v>105</v>
      </c>
      <c r="V14" s="137" t="s">
        <v>532</v>
      </c>
      <c r="W14" s="137" t="s">
        <v>108</v>
      </c>
      <c r="X14" s="137" t="s">
        <v>109</v>
      </c>
      <c r="Y14" s="137" t="s">
        <v>110</v>
      </c>
      <c r="Z14" s="137" t="s">
        <v>111</v>
      </c>
      <c r="AA14" s="137" t="s">
        <v>711</v>
      </c>
      <c r="AB14" s="137" t="s">
        <v>113</v>
      </c>
      <c r="AC14" s="137" t="s">
        <v>114</v>
      </c>
      <c r="AD14" s="137" t="s">
        <v>115</v>
      </c>
      <c r="AE14" s="137" t="s">
        <v>116</v>
      </c>
      <c r="AF14" s="137" t="s">
        <v>712</v>
      </c>
      <c r="AG14" s="137">
        <v>0</v>
      </c>
    </row>
  </sheetData>
  <phoneticPr fontId="27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AM14"/>
  <sheetViews>
    <sheetView workbookViewId="0">
      <pane ySplit="1" topLeftCell="A8" activePane="bottomLeft" state="frozen"/>
      <selection pane="bottomLeft" activeCell="F18" sqref="F18"/>
    </sheetView>
  </sheetViews>
  <sheetFormatPr defaultRowHeight="13.5"/>
  <cols>
    <col min="1" max="1" width="51.5" style="134" customWidth="1"/>
    <col min="2" max="2" width="10.875" style="134" bestFit="1" customWidth="1"/>
    <col min="3" max="3" width="18.875" style="134" bestFit="1" customWidth="1"/>
    <col min="4" max="5" width="11.625" style="134" bestFit="1" customWidth="1"/>
    <col min="6" max="6" width="8.125" style="134" bestFit="1" customWidth="1"/>
    <col min="7" max="7" width="13.125" style="134" bestFit="1" customWidth="1"/>
    <col min="8" max="8" width="16.75" style="134" bestFit="1" customWidth="1"/>
    <col min="9" max="9" width="10.25" style="134" bestFit="1" customWidth="1"/>
    <col min="10" max="10" width="9.5" style="134" bestFit="1" customWidth="1"/>
    <col min="11" max="11" width="12.5" style="134" bestFit="1" customWidth="1"/>
    <col min="12" max="12" width="8.625" style="134" bestFit="1" customWidth="1"/>
    <col min="13" max="13" width="12.75" style="134" bestFit="1" customWidth="1"/>
    <col min="14" max="14" width="8.5" style="134" bestFit="1" customWidth="1"/>
    <col min="15" max="15" width="11.625" style="134" bestFit="1" customWidth="1"/>
    <col min="16" max="16" width="7.625" style="134" bestFit="1" customWidth="1"/>
    <col min="17" max="17" width="10.625" style="134" bestFit="1" customWidth="1"/>
    <col min="18" max="18" width="6.875" style="134" bestFit="1" customWidth="1"/>
    <col min="19" max="19" width="9.875" style="134" bestFit="1" customWidth="1"/>
    <col min="20" max="20" width="10.25" style="134" bestFit="1" customWidth="1"/>
    <col min="21" max="21" width="13.625" style="134" bestFit="1" customWidth="1"/>
    <col min="22" max="22" width="12.625" style="134" bestFit="1" customWidth="1"/>
    <col min="23" max="23" width="16" style="134" bestFit="1" customWidth="1"/>
    <col min="24" max="24" width="5.75" style="134" bestFit="1" customWidth="1"/>
    <col min="25" max="26" width="6.25" style="134" bestFit="1" customWidth="1"/>
    <col min="27" max="27" width="11.625" style="134" bestFit="1" customWidth="1"/>
    <col min="28" max="28" width="19.875" style="134" bestFit="1" customWidth="1"/>
    <col min="29" max="29" width="16.625" style="134" bestFit="1" customWidth="1"/>
    <col min="30" max="30" width="18.75" style="134" bestFit="1" customWidth="1"/>
    <col min="31" max="31" width="10" style="134" bestFit="1" customWidth="1"/>
    <col min="32" max="32" width="10.5" style="134" bestFit="1" customWidth="1"/>
    <col min="33" max="33" width="19.875" style="134" bestFit="1" customWidth="1"/>
    <col min="34" max="34" width="15.5" style="134" bestFit="1" customWidth="1"/>
    <col min="35" max="35" width="17.625" style="134" bestFit="1" customWidth="1"/>
    <col min="36" max="36" width="9" style="134"/>
    <col min="37" max="37" width="7.75" style="134" bestFit="1" customWidth="1"/>
    <col min="38" max="38" width="19.875" style="134" bestFit="1" customWidth="1"/>
    <col min="39" max="39" width="7.375" style="134" bestFit="1" customWidth="1"/>
    <col min="40" max="16384" width="9" style="134"/>
  </cols>
  <sheetData>
    <row r="1" spans="1:39">
      <c r="A1" s="135" t="s">
        <v>126</v>
      </c>
      <c r="B1" s="135" t="s">
        <v>127</v>
      </c>
      <c r="C1" s="151" t="s">
        <v>700</v>
      </c>
      <c r="D1" s="151" t="s">
        <v>534</v>
      </c>
      <c r="E1" s="152" t="s">
        <v>535</v>
      </c>
      <c r="F1" s="152" t="s">
        <v>129</v>
      </c>
      <c r="G1" s="152" t="s">
        <v>130</v>
      </c>
      <c r="H1" s="152" t="s">
        <v>720</v>
      </c>
      <c r="I1" s="152" t="s">
        <v>721</v>
      </c>
      <c r="J1" s="152" t="s">
        <v>722</v>
      </c>
      <c r="K1" s="152" t="s">
        <v>723</v>
      </c>
      <c r="L1" s="152" t="s">
        <v>131</v>
      </c>
      <c r="M1" s="152" t="s">
        <v>724</v>
      </c>
      <c r="N1" s="152" t="s">
        <v>725</v>
      </c>
      <c r="O1" s="152" t="s">
        <v>726</v>
      </c>
      <c r="P1" s="152" t="s">
        <v>727</v>
      </c>
      <c r="Q1" s="152" t="s">
        <v>728</v>
      </c>
      <c r="R1" s="152" t="s">
        <v>729</v>
      </c>
      <c r="S1" s="152" t="s">
        <v>730</v>
      </c>
      <c r="T1" s="152" t="s">
        <v>731</v>
      </c>
      <c r="U1" s="152" t="s">
        <v>135</v>
      </c>
      <c r="V1" s="152" t="s">
        <v>732</v>
      </c>
      <c r="W1" s="152" t="s">
        <v>136</v>
      </c>
      <c r="X1" s="152" t="s">
        <v>137</v>
      </c>
      <c r="Y1" s="152" t="s">
        <v>178</v>
      </c>
      <c r="Z1" s="152" t="s">
        <v>157</v>
      </c>
      <c r="AA1" s="152" t="s">
        <v>158</v>
      </c>
      <c r="AB1" s="152" t="s">
        <v>159</v>
      </c>
      <c r="AC1" s="152" t="s">
        <v>160</v>
      </c>
      <c r="AD1" s="152" t="s">
        <v>161</v>
      </c>
      <c r="AE1" s="152" t="s">
        <v>162</v>
      </c>
      <c r="AF1" s="152" t="s">
        <v>163</v>
      </c>
      <c r="AG1" s="152" t="s">
        <v>164</v>
      </c>
      <c r="AH1" s="152" t="s">
        <v>165</v>
      </c>
      <c r="AI1" s="152" t="s">
        <v>166</v>
      </c>
      <c r="AJ1" s="152" t="s">
        <v>167</v>
      </c>
      <c r="AK1" s="152" t="s">
        <v>168</v>
      </c>
      <c r="AL1" s="152" t="s">
        <v>189</v>
      </c>
      <c r="AM1" s="152" t="s">
        <v>169</v>
      </c>
    </row>
    <row r="2" spans="1:39" ht="67.5">
      <c r="A2" s="161" t="s">
        <v>1112</v>
      </c>
      <c r="B2" s="137" t="s">
        <v>754</v>
      </c>
      <c r="C2" s="160" t="s">
        <v>734</v>
      </c>
      <c r="D2" s="137" t="s">
        <v>735</v>
      </c>
      <c r="E2" s="137" t="s">
        <v>736</v>
      </c>
      <c r="F2" s="137" t="s">
        <v>553</v>
      </c>
      <c r="G2" s="137" t="s">
        <v>518</v>
      </c>
      <c r="H2" s="137" t="s">
        <v>528</v>
      </c>
      <c r="I2" s="137">
        <v>7</v>
      </c>
      <c r="J2" s="137" t="s">
        <v>529</v>
      </c>
      <c r="K2" s="137" t="s">
        <v>523</v>
      </c>
      <c r="L2" s="137" t="s">
        <v>97</v>
      </c>
      <c r="M2" s="137" t="s">
        <v>98</v>
      </c>
      <c r="N2" s="137" t="s">
        <v>70</v>
      </c>
      <c r="O2" s="137" t="s">
        <v>100</v>
      </c>
      <c r="P2" s="137" t="s">
        <v>70</v>
      </c>
      <c r="Q2" s="137" t="s">
        <v>102</v>
      </c>
      <c r="R2" s="137" t="s">
        <v>103</v>
      </c>
      <c r="S2" s="137" t="s">
        <v>104</v>
      </c>
      <c r="T2" s="137" t="s">
        <v>105</v>
      </c>
      <c r="U2" s="137" t="s">
        <v>107</v>
      </c>
      <c r="V2" s="137" t="s">
        <v>108</v>
      </c>
      <c r="W2" s="137" t="s">
        <v>109</v>
      </c>
      <c r="X2" s="137" t="s">
        <v>110</v>
      </c>
      <c r="Y2" s="137" t="s">
        <v>111</v>
      </c>
      <c r="Z2" s="137" t="s">
        <v>520</v>
      </c>
      <c r="AA2" s="137" t="s">
        <v>112</v>
      </c>
      <c r="AB2" s="137" t="s">
        <v>593</v>
      </c>
      <c r="AC2" s="137" t="s">
        <v>114</v>
      </c>
      <c r="AD2" s="137" t="s">
        <v>115</v>
      </c>
      <c r="AE2" s="137" t="s">
        <v>116</v>
      </c>
      <c r="AF2" s="137" t="s">
        <v>117</v>
      </c>
      <c r="AG2" s="137" t="s">
        <v>594</v>
      </c>
      <c r="AH2" s="137" t="s">
        <v>119</v>
      </c>
      <c r="AI2" s="137" t="s">
        <v>120</v>
      </c>
      <c r="AJ2" s="137" t="s">
        <v>197</v>
      </c>
      <c r="AK2" s="137" t="s">
        <v>272</v>
      </c>
      <c r="AL2" s="137" t="s">
        <v>733</v>
      </c>
      <c r="AM2" s="137">
        <v>0</v>
      </c>
    </row>
    <row r="3" spans="1:39" ht="135">
      <c r="A3" s="162" t="s">
        <v>1113</v>
      </c>
      <c r="B3" s="137" t="s">
        <v>754</v>
      </c>
      <c r="C3" s="137">
        <v>1</v>
      </c>
      <c r="D3" s="137" t="s">
        <v>735</v>
      </c>
      <c r="E3" s="160" t="s">
        <v>737</v>
      </c>
      <c r="F3" s="137" t="s">
        <v>553</v>
      </c>
      <c r="G3" s="137" t="s">
        <v>518</v>
      </c>
      <c r="H3" s="137" t="s">
        <v>528</v>
      </c>
      <c r="I3" s="137">
        <v>7</v>
      </c>
      <c r="J3" s="137" t="s">
        <v>529</v>
      </c>
      <c r="K3" s="137" t="s">
        <v>523</v>
      </c>
      <c r="L3" s="137" t="s">
        <v>97</v>
      </c>
      <c r="M3" s="137" t="s">
        <v>98</v>
      </c>
      <c r="N3" s="137" t="s">
        <v>70</v>
      </c>
      <c r="O3" s="137" t="s">
        <v>100</v>
      </c>
      <c r="P3" s="137" t="s">
        <v>70</v>
      </c>
      <c r="Q3" s="137" t="s">
        <v>102</v>
      </c>
      <c r="R3" s="137" t="s">
        <v>103</v>
      </c>
      <c r="S3" s="137" t="s">
        <v>104</v>
      </c>
      <c r="T3" s="137" t="s">
        <v>105</v>
      </c>
      <c r="U3" s="137" t="s">
        <v>107</v>
      </c>
      <c r="V3" s="137" t="s">
        <v>108</v>
      </c>
      <c r="W3" s="137" t="s">
        <v>109</v>
      </c>
      <c r="X3" s="137" t="s">
        <v>110</v>
      </c>
      <c r="Y3" s="137" t="s">
        <v>111</v>
      </c>
      <c r="Z3" s="137" t="s">
        <v>520</v>
      </c>
      <c r="AA3" s="137" t="s">
        <v>112</v>
      </c>
      <c r="AB3" s="137" t="s">
        <v>593</v>
      </c>
      <c r="AC3" s="137" t="s">
        <v>114</v>
      </c>
      <c r="AD3" s="137" t="s">
        <v>115</v>
      </c>
      <c r="AE3" s="137" t="s">
        <v>116</v>
      </c>
      <c r="AF3" s="137" t="s">
        <v>117</v>
      </c>
      <c r="AG3" s="137" t="s">
        <v>594</v>
      </c>
      <c r="AH3" s="137" t="s">
        <v>119</v>
      </c>
      <c r="AI3" s="137" t="s">
        <v>120</v>
      </c>
      <c r="AJ3" s="137" t="s">
        <v>197</v>
      </c>
      <c r="AK3" s="137" t="s">
        <v>272</v>
      </c>
      <c r="AL3" s="137" t="s">
        <v>733</v>
      </c>
      <c r="AM3" s="137">
        <v>0</v>
      </c>
    </row>
    <row r="4" spans="1:39" ht="94.5">
      <c r="A4" s="162" t="s">
        <v>1114</v>
      </c>
      <c r="B4" s="137" t="s">
        <v>754</v>
      </c>
      <c r="C4" s="137">
        <v>2</v>
      </c>
      <c r="D4" s="160" t="s">
        <v>737</v>
      </c>
      <c r="E4" s="137" t="s">
        <v>561</v>
      </c>
      <c r="F4" s="137" t="s">
        <v>553</v>
      </c>
      <c r="G4" s="137" t="s">
        <v>518</v>
      </c>
      <c r="H4" s="137" t="s">
        <v>528</v>
      </c>
      <c r="I4" s="137">
        <v>7</v>
      </c>
      <c r="J4" s="137" t="s">
        <v>529</v>
      </c>
      <c r="K4" s="137" t="s">
        <v>523</v>
      </c>
      <c r="L4" s="137" t="s">
        <v>97</v>
      </c>
      <c r="M4" s="137" t="s">
        <v>98</v>
      </c>
      <c r="N4" s="137" t="s">
        <v>70</v>
      </c>
      <c r="O4" s="137" t="s">
        <v>100</v>
      </c>
      <c r="P4" s="137" t="s">
        <v>70</v>
      </c>
      <c r="Q4" s="137" t="s">
        <v>102</v>
      </c>
      <c r="R4" s="137" t="s">
        <v>103</v>
      </c>
      <c r="S4" s="137" t="s">
        <v>104</v>
      </c>
      <c r="T4" s="137" t="s">
        <v>105</v>
      </c>
      <c r="U4" s="137" t="s">
        <v>107</v>
      </c>
      <c r="V4" s="137" t="s">
        <v>108</v>
      </c>
      <c r="W4" s="137" t="s">
        <v>109</v>
      </c>
      <c r="X4" s="137" t="s">
        <v>110</v>
      </c>
      <c r="Y4" s="137" t="s">
        <v>111</v>
      </c>
      <c r="Z4" s="137" t="s">
        <v>520</v>
      </c>
      <c r="AA4" s="137" t="s">
        <v>112</v>
      </c>
      <c r="AB4" s="137" t="s">
        <v>593</v>
      </c>
      <c r="AC4" s="137" t="s">
        <v>114</v>
      </c>
      <c r="AD4" s="137" t="s">
        <v>115</v>
      </c>
      <c r="AE4" s="137" t="s">
        <v>116</v>
      </c>
      <c r="AF4" s="137" t="s">
        <v>117</v>
      </c>
      <c r="AG4" s="137" t="s">
        <v>594</v>
      </c>
      <c r="AH4" s="137" t="s">
        <v>119</v>
      </c>
      <c r="AI4" s="137" t="s">
        <v>120</v>
      </c>
      <c r="AJ4" s="137" t="s">
        <v>197</v>
      </c>
      <c r="AK4" s="137" t="s">
        <v>272</v>
      </c>
      <c r="AL4" s="137" t="s">
        <v>733</v>
      </c>
      <c r="AM4" s="137">
        <v>0</v>
      </c>
    </row>
    <row r="5" spans="1:39" ht="94.5">
      <c r="A5" s="161" t="s">
        <v>1115</v>
      </c>
      <c r="B5" s="137" t="s">
        <v>754</v>
      </c>
      <c r="C5" s="137">
        <v>3</v>
      </c>
      <c r="D5" s="137" t="s">
        <v>563</v>
      </c>
      <c r="E5" s="160" t="s">
        <v>735</v>
      </c>
      <c r="F5" s="137" t="s">
        <v>553</v>
      </c>
      <c r="G5" s="137" t="s">
        <v>518</v>
      </c>
      <c r="H5" s="137" t="s">
        <v>528</v>
      </c>
      <c r="I5" s="137">
        <v>7</v>
      </c>
      <c r="J5" s="137" t="s">
        <v>529</v>
      </c>
      <c r="K5" s="137" t="s">
        <v>523</v>
      </c>
      <c r="L5" s="137" t="s">
        <v>97</v>
      </c>
      <c r="M5" s="137" t="s">
        <v>98</v>
      </c>
      <c r="N5" s="137" t="s">
        <v>70</v>
      </c>
      <c r="O5" s="137" t="s">
        <v>100</v>
      </c>
      <c r="P5" s="137" t="s">
        <v>70</v>
      </c>
      <c r="Q5" s="137" t="s">
        <v>102</v>
      </c>
      <c r="R5" s="137" t="s">
        <v>103</v>
      </c>
      <c r="S5" s="137" t="s">
        <v>104</v>
      </c>
      <c r="T5" s="137" t="s">
        <v>105</v>
      </c>
      <c r="U5" s="137" t="s">
        <v>107</v>
      </c>
      <c r="V5" s="137" t="s">
        <v>108</v>
      </c>
      <c r="W5" s="137" t="s">
        <v>109</v>
      </c>
      <c r="X5" s="137" t="s">
        <v>110</v>
      </c>
      <c r="Y5" s="137" t="s">
        <v>111</v>
      </c>
      <c r="Z5" s="137" t="s">
        <v>520</v>
      </c>
      <c r="AA5" s="137" t="s">
        <v>112</v>
      </c>
      <c r="AB5" s="137" t="s">
        <v>593</v>
      </c>
      <c r="AC5" s="137" t="s">
        <v>114</v>
      </c>
      <c r="AD5" s="137" t="s">
        <v>115</v>
      </c>
      <c r="AE5" s="137" t="s">
        <v>116</v>
      </c>
      <c r="AF5" s="137" t="s">
        <v>117</v>
      </c>
      <c r="AG5" s="137" t="s">
        <v>594</v>
      </c>
      <c r="AH5" s="137" t="s">
        <v>119</v>
      </c>
      <c r="AI5" s="137" t="s">
        <v>120</v>
      </c>
      <c r="AJ5" s="137" t="s">
        <v>197</v>
      </c>
      <c r="AK5" s="137" t="s">
        <v>272</v>
      </c>
      <c r="AL5" s="137" t="s">
        <v>733</v>
      </c>
      <c r="AM5" s="137">
        <v>0</v>
      </c>
    </row>
    <row r="6" spans="1:39" ht="94.5">
      <c r="A6" s="161" t="s">
        <v>1116</v>
      </c>
      <c r="B6" s="137" t="s">
        <v>754</v>
      </c>
      <c r="C6" s="137">
        <v>4</v>
      </c>
      <c r="D6" s="160" t="s">
        <v>736</v>
      </c>
      <c r="E6" s="137" t="s">
        <v>561</v>
      </c>
      <c r="F6" s="137" t="s">
        <v>553</v>
      </c>
      <c r="G6" s="137" t="s">
        <v>518</v>
      </c>
      <c r="H6" s="137" t="s">
        <v>528</v>
      </c>
      <c r="I6" s="137">
        <v>7</v>
      </c>
      <c r="J6" s="137" t="s">
        <v>529</v>
      </c>
      <c r="K6" s="137" t="s">
        <v>523</v>
      </c>
      <c r="L6" s="137" t="s">
        <v>97</v>
      </c>
      <c r="M6" s="137" t="s">
        <v>98</v>
      </c>
      <c r="N6" s="137" t="s">
        <v>70</v>
      </c>
      <c r="O6" s="137" t="s">
        <v>100</v>
      </c>
      <c r="P6" s="137" t="s">
        <v>70</v>
      </c>
      <c r="Q6" s="137" t="s">
        <v>102</v>
      </c>
      <c r="R6" s="137" t="s">
        <v>103</v>
      </c>
      <c r="S6" s="137" t="s">
        <v>104</v>
      </c>
      <c r="T6" s="137" t="s">
        <v>105</v>
      </c>
      <c r="U6" s="137" t="s">
        <v>107</v>
      </c>
      <c r="V6" s="137" t="s">
        <v>108</v>
      </c>
      <c r="W6" s="137" t="s">
        <v>109</v>
      </c>
      <c r="X6" s="137" t="s">
        <v>110</v>
      </c>
      <c r="Y6" s="137" t="s">
        <v>111</v>
      </c>
      <c r="Z6" s="137" t="s">
        <v>520</v>
      </c>
      <c r="AA6" s="137" t="s">
        <v>112</v>
      </c>
      <c r="AB6" s="137" t="s">
        <v>593</v>
      </c>
      <c r="AC6" s="137" t="s">
        <v>114</v>
      </c>
      <c r="AD6" s="137" t="s">
        <v>115</v>
      </c>
      <c r="AE6" s="137" t="s">
        <v>116</v>
      </c>
      <c r="AF6" s="137" t="s">
        <v>117</v>
      </c>
      <c r="AG6" s="137" t="s">
        <v>594</v>
      </c>
      <c r="AH6" s="137" t="s">
        <v>119</v>
      </c>
      <c r="AI6" s="137" t="s">
        <v>120</v>
      </c>
      <c r="AJ6" s="137" t="s">
        <v>197</v>
      </c>
      <c r="AK6" s="137" t="s">
        <v>272</v>
      </c>
      <c r="AL6" s="137" t="s">
        <v>733</v>
      </c>
      <c r="AM6" s="137">
        <v>0</v>
      </c>
    </row>
    <row r="7" spans="1:39" ht="27">
      <c r="A7" s="162" t="s">
        <v>1117</v>
      </c>
      <c r="B7" s="137" t="s">
        <v>754</v>
      </c>
      <c r="C7" s="137">
        <v>5</v>
      </c>
      <c r="D7" s="160" t="s">
        <v>753</v>
      </c>
      <c r="E7" s="160" t="s">
        <v>560</v>
      </c>
      <c r="F7" s="137" t="s">
        <v>553</v>
      </c>
      <c r="G7" s="137" t="s">
        <v>518</v>
      </c>
      <c r="H7" s="137" t="s">
        <v>528</v>
      </c>
      <c r="I7" s="137">
        <v>7</v>
      </c>
      <c r="J7" s="137" t="s">
        <v>529</v>
      </c>
      <c r="K7" s="137" t="s">
        <v>523</v>
      </c>
      <c r="L7" s="137" t="s">
        <v>97</v>
      </c>
      <c r="M7" s="137" t="s">
        <v>98</v>
      </c>
      <c r="N7" s="137" t="s">
        <v>70</v>
      </c>
      <c r="O7" s="137" t="s">
        <v>100</v>
      </c>
      <c r="P7" s="137" t="s">
        <v>70</v>
      </c>
      <c r="Q7" s="137" t="s">
        <v>102</v>
      </c>
      <c r="R7" s="137" t="s">
        <v>103</v>
      </c>
      <c r="S7" s="137" t="s">
        <v>104</v>
      </c>
      <c r="T7" s="137" t="s">
        <v>105</v>
      </c>
      <c r="U7" s="137" t="s">
        <v>107</v>
      </c>
      <c r="V7" s="137" t="s">
        <v>108</v>
      </c>
      <c r="W7" s="137" t="s">
        <v>109</v>
      </c>
      <c r="X7" s="137" t="s">
        <v>110</v>
      </c>
      <c r="Y7" s="137" t="s">
        <v>111</v>
      </c>
      <c r="Z7" s="137" t="s">
        <v>520</v>
      </c>
      <c r="AA7" s="137" t="s">
        <v>112</v>
      </c>
      <c r="AB7" s="137" t="s">
        <v>593</v>
      </c>
      <c r="AC7" s="137" t="s">
        <v>114</v>
      </c>
      <c r="AD7" s="137" t="s">
        <v>115</v>
      </c>
      <c r="AE7" s="137" t="s">
        <v>116</v>
      </c>
      <c r="AF7" s="137" t="s">
        <v>117</v>
      </c>
      <c r="AG7" s="137" t="s">
        <v>594</v>
      </c>
      <c r="AH7" s="137" t="s">
        <v>119</v>
      </c>
      <c r="AI7" s="137" t="s">
        <v>120</v>
      </c>
      <c r="AJ7" s="137" t="s">
        <v>197</v>
      </c>
      <c r="AK7" s="137" t="s">
        <v>272</v>
      </c>
      <c r="AL7" s="137" t="s">
        <v>733</v>
      </c>
      <c r="AM7" s="137">
        <v>0</v>
      </c>
    </row>
    <row r="8" spans="1:39" ht="40.5">
      <c r="A8" s="161" t="s">
        <v>869</v>
      </c>
      <c r="B8" s="137" t="s">
        <v>754</v>
      </c>
      <c r="C8" s="137">
        <v>6</v>
      </c>
      <c r="D8" s="137" t="s">
        <v>563</v>
      </c>
      <c r="E8" s="137" t="s">
        <v>561</v>
      </c>
      <c r="F8" s="137" t="s">
        <v>553</v>
      </c>
      <c r="G8" s="137" t="s">
        <v>518</v>
      </c>
      <c r="H8" s="137" t="s">
        <v>528</v>
      </c>
      <c r="I8" s="137">
        <v>7</v>
      </c>
      <c r="J8" s="137" t="s">
        <v>529</v>
      </c>
      <c r="K8" s="137" t="s">
        <v>523</v>
      </c>
      <c r="L8" s="137" t="s">
        <v>97</v>
      </c>
      <c r="M8" s="137" t="s">
        <v>98</v>
      </c>
      <c r="N8" s="137" t="s">
        <v>70</v>
      </c>
      <c r="O8" s="137" t="s">
        <v>100</v>
      </c>
      <c r="P8" s="137" t="s">
        <v>70</v>
      </c>
      <c r="Q8" s="137" t="s">
        <v>102</v>
      </c>
      <c r="R8" s="137" t="s">
        <v>103</v>
      </c>
      <c r="S8" s="137" t="s">
        <v>104</v>
      </c>
      <c r="T8" s="137" t="s">
        <v>105</v>
      </c>
      <c r="U8" s="137" t="s">
        <v>107</v>
      </c>
      <c r="V8" s="137" t="s">
        <v>108</v>
      </c>
      <c r="W8" s="137" t="s">
        <v>109</v>
      </c>
      <c r="X8" s="137" t="s">
        <v>110</v>
      </c>
      <c r="Y8" s="137" t="s">
        <v>870</v>
      </c>
      <c r="Z8" s="160" t="s">
        <v>845</v>
      </c>
      <c r="AA8" s="137" t="s">
        <v>112</v>
      </c>
      <c r="AB8" s="137" t="s">
        <v>593</v>
      </c>
      <c r="AC8" s="137" t="s">
        <v>114</v>
      </c>
      <c r="AD8" s="137" t="s">
        <v>115</v>
      </c>
      <c r="AE8" s="137" t="s">
        <v>116</v>
      </c>
      <c r="AF8" s="137" t="s">
        <v>117</v>
      </c>
      <c r="AG8" s="137" t="s">
        <v>594</v>
      </c>
      <c r="AH8" s="137" t="s">
        <v>119</v>
      </c>
      <c r="AI8" s="137" t="s">
        <v>120</v>
      </c>
      <c r="AJ8" s="137" t="s">
        <v>197</v>
      </c>
      <c r="AK8" s="137" t="s">
        <v>272</v>
      </c>
      <c r="AL8" s="137" t="s">
        <v>733</v>
      </c>
      <c r="AM8" s="137">
        <v>0</v>
      </c>
    </row>
    <row r="9" spans="1:39" ht="67.5">
      <c r="A9" s="161" t="s">
        <v>814</v>
      </c>
      <c r="B9" s="137" t="s">
        <v>754</v>
      </c>
      <c r="C9" s="137">
        <v>23</v>
      </c>
      <c r="D9" s="137" t="s">
        <v>563</v>
      </c>
      <c r="E9" s="137" t="s">
        <v>561</v>
      </c>
      <c r="F9" s="137" t="s">
        <v>553</v>
      </c>
      <c r="G9" s="137" t="s">
        <v>518</v>
      </c>
      <c r="H9" s="137" t="s">
        <v>528</v>
      </c>
      <c r="I9" s="137">
        <v>7</v>
      </c>
      <c r="J9" s="137" t="s">
        <v>529</v>
      </c>
      <c r="K9" s="137" t="s">
        <v>523</v>
      </c>
      <c r="L9" s="137" t="s">
        <v>97</v>
      </c>
      <c r="M9" s="137" t="s">
        <v>98</v>
      </c>
      <c r="N9" s="137" t="s">
        <v>70</v>
      </c>
      <c r="O9" s="137" t="s">
        <v>100</v>
      </c>
      <c r="P9" s="137" t="s">
        <v>70</v>
      </c>
      <c r="Q9" s="137" t="s">
        <v>102</v>
      </c>
      <c r="R9" s="137" t="s">
        <v>103</v>
      </c>
      <c r="S9" s="137" t="s">
        <v>104</v>
      </c>
      <c r="T9" s="137" t="s">
        <v>105</v>
      </c>
      <c r="U9" s="137" t="s">
        <v>107</v>
      </c>
      <c r="V9" s="137" t="s">
        <v>108</v>
      </c>
      <c r="W9" s="137" t="s">
        <v>109</v>
      </c>
      <c r="X9" s="137" t="s">
        <v>110</v>
      </c>
      <c r="Y9" s="137" t="s">
        <v>870</v>
      </c>
      <c r="Z9" s="137" t="s">
        <v>520</v>
      </c>
      <c r="AA9" s="137" t="s">
        <v>112</v>
      </c>
      <c r="AB9" s="137" t="s">
        <v>593</v>
      </c>
      <c r="AC9" s="137" t="s">
        <v>114</v>
      </c>
      <c r="AD9" s="137" t="s">
        <v>115</v>
      </c>
      <c r="AE9" s="137" t="s">
        <v>116</v>
      </c>
      <c r="AF9" s="137" t="s">
        <v>117</v>
      </c>
      <c r="AG9" s="137" t="s">
        <v>594</v>
      </c>
      <c r="AH9" s="137" t="s">
        <v>119</v>
      </c>
      <c r="AI9" s="137" t="s">
        <v>120</v>
      </c>
      <c r="AJ9" s="137" t="s">
        <v>197</v>
      </c>
      <c r="AK9" s="137" t="s">
        <v>272</v>
      </c>
      <c r="AL9" s="137" t="s">
        <v>733</v>
      </c>
      <c r="AM9" s="137">
        <v>0</v>
      </c>
    </row>
    <row r="10" spans="1:39" ht="67.5">
      <c r="A10" s="161" t="s">
        <v>815</v>
      </c>
      <c r="B10" s="137" t="s">
        <v>754</v>
      </c>
      <c r="C10" s="137">
        <v>24</v>
      </c>
      <c r="D10" s="137" t="s">
        <v>563</v>
      </c>
      <c r="E10" s="137" t="s">
        <v>561</v>
      </c>
      <c r="F10" s="137" t="s">
        <v>553</v>
      </c>
      <c r="G10" s="137" t="s">
        <v>518</v>
      </c>
      <c r="H10" s="137" t="s">
        <v>528</v>
      </c>
      <c r="I10" s="137">
        <v>7</v>
      </c>
      <c r="J10" s="137" t="s">
        <v>529</v>
      </c>
      <c r="K10" s="137" t="s">
        <v>523</v>
      </c>
      <c r="L10" s="137" t="s">
        <v>97</v>
      </c>
      <c r="M10" s="137" t="s">
        <v>98</v>
      </c>
      <c r="N10" s="137" t="s">
        <v>70</v>
      </c>
      <c r="O10" s="137" t="s">
        <v>100</v>
      </c>
      <c r="P10" s="137" t="s">
        <v>70</v>
      </c>
      <c r="Q10" s="137" t="s">
        <v>102</v>
      </c>
      <c r="R10" s="137" t="s">
        <v>103</v>
      </c>
      <c r="S10" s="137" t="s">
        <v>104</v>
      </c>
      <c r="T10" s="137" t="s">
        <v>105</v>
      </c>
      <c r="U10" s="137" t="s">
        <v>107</v>
      </c>
      <c r="V10" s="137" t="s">
        <v>108</v>
      </c>
      <c r="W10" s="137" t="s">
        <v>109</v>
      </c>
      <c r="X10" s="137" t="s">
        <v>110</v>
      </c>
      <c r="Y10" s="137" t="s">
        <v>870</v>
      </c>
      <c r="Z10" s="137" t="s">
        <v>520</v>
      </c>
      <c r="AA10" s="137" t="s">
        <v>112</v>
      </c>
      <c r="AB10" s="137" t="s">
        <v>593</v>
      </c>
      <c r="AC10" s="137" t="s">
        <v>114</v>
      </c>
      <c r="AD10" s="137" t="s">
        <v>115</v>
      </c>
      <c r="AE10" s="137" t="s">
        <v>116</v>
      </c>
      <c r="AF10" s="137" t="s">
        <v>117</v>
      </c>
      <c r="AG10" s="137" t="s">
        <v>594</v>
      </c>
      <c r="AH10" s="137" t="s">
        <v>119</v>
      </c>
      <c r="AI10" s="137" t="s">
        <v>120</v>
      </c>
      <c r="AJ10" s="137" t="s">
        <v>197</v>
      </c>
      <c r="AK10" s="137" t="s">
        <v>272</v>
      </c>
      <c r="AL10" s="137" t="s">
        <v>733</v>
      </c>
      <c r="AM10" s="137">
        <v>0</v>
      </c>
    </row>
    <row r="11" spans="1:39" ht="67.5">
      <c r="A11" s="161" t="s">
        <v>816</v>
      </c>
      <c r="B11" s="137" t="s">
        <v>754</v>
      </c>
      <c r="C11" s="137">
        <v>25</v>
      </c>
      <c r="D11" s="137" t="s">
        <v>563</v>
      </c>
      <c r="E11" s="137" t="s">
        <v>561</v>
      </c>
      <c r="F11" s="137" t="s">
        <v>553</v>
      </c>
      <c r="G11" s="137" t="s">
        <v>518</v>
      </c>
      <c r="H11" s="137" t="s">
        <v>528</v>
      </c>
      <c r="I11" s="137">
        <v>7</v>
      </c>
      <c r="J11" s="137" t="s">
        <v>529</v>
      </c>
      <c r="K11" s="137" t="s">
        <v>523</v>
      </c>
      <c r="L11" s="137" t="s">
        <v>97</v>
      </c>
      <c r="M11" s="137" t="s">
        <v>98</v>
      </c>
      <c r="N11" s="137" t="s">
        <v>70</v>
      </c>
      <c r="O11" s="137" t="s">
        <v>100</v>
      </c>
      <c r="P11" s="137" t="s">
        <v>70</v>
      </c>
      <c r="Q11" s="137" t="s">
        <v>102</v>
      </c>
      <c r="R11" s="137" t="s">
        <v>103</v>
      </c>
      <c r="S11" s="137" t="s">
        <v>104</v>
      </c>
      <c r="T11" s="137" t="s">
        <v>105</v>
      </c>
      <c r="U11" s="137" t="s">
        <v>107</v>
      </c>
      <c r="V11" s="137" t="s">
        <v>108</v>
      </c>
      <c r="W11" s="137" t="s">
        <v>109</v>
      </c>
      <c r="X11" s="137" t="s">
        <v>110</v>
      </c>
      <c r="Y11" s="137" t="s">
        <v>870</v>
      </c>
      <c r="Z11" s="137" t="s">
        <v>520</v>
      </c>
      <c r="AA11" s="137" t="s">
        <v>112</v>
      </c>
      <c r="AB11" s="137" t="s">
        <v>593</v>
      </c>
      <c r="AC11" s="137" t="s">
        <v>114</v>
      </c>
      <c r="AD11" s="137" t="s">
        <v>115</v>
      </c>
      <c r="AE11" s="137" t="s">
        <v>116</v>
      </c>
      <c r="AF11" s="137" t="s">
        <v>117</v>
      </c>
      <c r="AG11" s="137" t="s">
        <v>594</v>
      </c>
      <c r="AH11" s="137" t="s">
        <v>119</v>
      </c>
      <c r="AI11" s="137" t="s">
        <v>120</v>
      </c>
      <c r="AJ11" s="137" t="s">
        <v>197</v>
      </c>
      <c r="AK11" s="137" t="s">
        <v>272</v>
      </c>
      <c r="AL11" s="137" t="s">
        <v>733</v>
      </c>
      <c r="AM11" s="137">
        <v>0</v>
      </c>
    </row>
    <row r="12" spans="1:39" ht="67.5">
      <c r="A12" s="161" t="s">
        <v>817</v>
      </c>
      <c r="B12" s="137" t="s">
        <v>754</v>
      </c>
      <c r="C12" s="137">
        <v>26</v>
      </c>
      <c r="D12" s="137" t="s">
        <v>563</v>
      </c>
      <c r="E12" s="137" t="s">
        <v>561</v>
      </c>
      <c r="F12" s="137" t="s">
        <v>553</v>
      </c>
      <c r="G12" s="137" t="s">
        <v>518</v>
      </c>
      <c r="H12" s="137" t="s">
        <v>528</v>
      </c>
      <c r="I12" s="137">
        <v>7</v>
      </c>
      <c r="J12" s="137" t="s">
        <v>529</v>
      </c>
      <c r="K12" s="137" t="s">
        <v>523</v>
      </c>
      <c r="L12" s="137" t="s">
        <v>97</v>
      </c>
      <c r="M12" s="137" t="s">
        <v>98</v>
      </c>
      <c r="N12" s="137" t="s">
        <v>70</v>
      </c>
      <c r="O12" s="137" t="s">
        <v>100</v>
      </c>
      <c r="P12" s="137" t="s">
        <v>70</v>
      </c>
      <c r="Q12" s="137" t="s">
        <v>102</v>
      </c>
      <c r="R12" s="137" t="s">
        <v>103</v>
      </c>
      <c r="S12" s="137" t="s">
        <v>104</v>
      </c>
      <c r="T12" s="137" t="s">
        <v>105</v>
      </c>
      <c r="U12" s="137" t="s">
        <v>107</v>
      </c>
      <c r="V12" s="137" t="s">
        <v>108</v>
      </c>
      <c r="W12" s="137" t="s">
        <v>109</v>
      </c>
      <c r="X12" s="137" t="s">
        <v>110</v>
      </c>
      <c r="Y12" s="137" t="s">
        <v>870</v>
      </c>
      <c r="Z12" s="137" t="s">
        <v>520</v>
      </c>
      <c r="AA12" s="137" t="s">
        <v>112</v>
      </c>
      <c r="AB12" s="137" t="s">
        <v>593</v>
      </c>
      <c r="AC12" s="137" t="s">
        <v>114</v>
      </c>
      <c r="AD12" s="137" t="s">
        <v>115</v>
      </c>
      <c r="AE12" s="137" t="s">
        <v>116</v>
      </c>
      <c r="AF12" s="137" t="s">
        <v>117</v>
      </c>
      <c r="AG12" s="137" t="s">
        <v>594</v>
      </c>
      <c r="AH12" s="137" t="s">
        <v>119</v>
      </c>
      <c r="AI12" s="137" t="s">
        <v>120</v>
      </c>
      <c r="AJ12" s="137" t="s">
        <v>197</v>
      </c>
      <c r="AK12" s="137" t="s">
        <v>272</v>
      </c>
      <c r="AL12" s="137" t="s">
        <v>733</v>
      </c>
      <c r="AM12" s="137">
        <v>0</v>
      </c>
    </row>
    <row r="13" spans="1:39" ht="67.5">
      <c r="A13" s="161" t="s">
        <v>818</v>
      </c>
      <c r="B13" s="137" t="s">
        <v>754</v>
      </c>
      <c r="C13" s="137">
        <v>27</v>
      </c>
      <c r="D13" s="137" t="s">
        <v>563</v>
      </c>
      <c r="E13" s="137" t="s">
        <v>561</v>
      </c>
      <c r="F13" s="137" t="s">
        <v>553</v>
      </c>
      <c r="G13" s="137" t="s">
        <v>518</v>
      </c>
      <c r="H13" s="137" t="s">
        <v>528</v>
      </c>
      <c r="I13" s="137">
        <v>7</v>
      </c>
      <c r="J13" s="137" t="s">
        <v>529</v>
      </c>
      <c r="K13" s="137" t="s">
        <v>523</v>
      </c>
      <c r="L13" s="137" t="s">
        <v>97</v>
      </c>
      <c r="M13" s="137" t="s">
        <v>98</v>
      </c>
      <c r="N13" s="137" t="s">
        <v>70</v>
      </c>
      <c r="O13" s="137" t="s">
        <v>100</v>
      </c>
      <c r="P13" s="137" t="s">
        <v>70</v>
      </c>
      <c r="Q13" s="137" t="s">
        <v>102</v>
      </c>
      <c r="R13" s="137" t="s">
        <v>103</v>
      </c>
      <c r="S13" s="137" t="s">
        <v>104</v>
      </c>
      <c r="T13" s="137" t="s">
        <v>105</v>
      </c>
      <c r="U13" s="137" t="s">
        <v>107</v>
      </c>
      <c r="V13" s="137" t="s">
        <v>108</v>
      </c>
      <c r="W13" s="137" t="s">
        <v>109</v>
      </c>
      <c r="X13" s="137" t="s">
        <v>110</v>
      </c>
      <c r="Y13" s="137" t="s">
        <v>870</v>
      </c>
      <c r="Z13" s="137" t="s">
        <v>520</v>
      </c>
      <c r="AA13" s="137" t="s">
        <v>112</v>
      </c>
      <c r="AB13" s="137" t="s">
        <v>593</v>
      </c>
      <c r="AC13" s="137" t="s">
        <v>114</v>
      </c>
      <c r="AD13" s="137" t="s">
        <v>115</v>
      </c>
      <c r="AE13" s="137" t="s">
        <v>116</v>
      </c>
      <c r="AF13" s="137" t="s">
        <v>117</v>
      </c>
      <c r="AG13" s="137" t="s">
        <v>594</v>
      </c>
      <c r="AH13" s="137" t="s">
        <v>119</v>
      </c>
      <c r="AI13" s="137" t="s">
        <v>120</v>
      </c>
      <c r="AJ13" s="137" t="s">
        <v>197</v>
      </c>
      <c r="AK13" s="137" t="s">
        <v>272</v>
      </c>
      <c r="AL13" s="137" t="s">
        <v>733</v>
      </c>
      <c r="AM13" s="137">
        <v>0</v>
      </c>
    </row>
    <row r="14" spans="1:39" ht="40.5">
      <c r="A14" s="161" t="s">
        <v>1022</v>
      </c>
      <c r="B14" s="137" t="s">
        <v>754</v>
      </c>
      <c r="C14" s="137">
        <v>28</v>
      </c>
      <c r="D14" s="137" t="s">
        <v>563</v>
      </c>
      <c r="E14" s="137" t="s">
        <v>561</v>
      </c>
      <c r="F14" s="137" t="s">
        <v>553</v>
      </c>
      <c r="G14" s="137" t="s">
        <v>518</v>
      </c>
      <c r="H14" s="137" t="s">
        <v>528</v>
      </c>
      <c r="I14" s="137">
        <v>7</v>
      </c>
      <c r="J14" s="137" t="s">
        <v>529</v>
      </c>
      <c r="K14" s="137" t="s">
        <v>523</v>
      </c>
      <c r="L14" s="137" t="s">
        <v>97</v>
      </c>
      <c r="M14" s="137" t="s">
        <v>98</v>
      </c>
      <c r="N14" s="137" t="s">
        <v>70</v>
      </c>
      <c r="O14" s="137" t="s">
        <v>100</v>
      </c>
      <c r="P14" s="137" t="s">
        <v>70</v>
      </c>
      <c r="Q14" s="137" t="s">
        <v>102</v>
      </c>
      <c r="R14" s="137" t="s">
        <v>103</v>
      </c>
      <c r="S14" s="137" t="s">
        <v>104</v>
      </c>
      <c r="T14" s="137" t="s">
        <v>105</v>
      </c>
      <c r="U14" s="137" t="s">
        <v>107</v>
      </c>
      <c r="V14" s="137" t="s">
        <v>108</v>
      </c>
      <c r="W14" s="137" t="s">
        <v>109</v>
      </c>
      <c r="X14" s="137" t="s">
        <v>110</v>
      </c>
      <c r="Y14" s="137" t="s">
        <v>870</v>
      </c>
      <c r="Z14" s="137" t="s">
        <v>520</v>
      </c>
      <c r="AA14" s="137" t="s">
        <v>112</v>
      </c>
      <c r="AB14" s="137" t="s">
        <v>593</v>
      </c>
      <c r="AC14" s="137" t="s">
        <v>114</v>
      </c>
      <c r="AD14" s="137" t="s">
        <v>115</v>
      </c>
      <c r="AE14" s="137" t="s">
        <v>116</v>
      </c>
      <c r="AF14" s="137" t="s">
        <v>117</v>
      </c>
      <c r="AG14" s="137" t="s">
        <v>594</v>
      </c>
      <c r="AH14" s="137" t="s">
        <v>119</v>
      </c>
      <c r="AI14" s="137" t="s">
        <v>120</v>
      </c>
      <c r="AJ14" s="137" t="s">
        <v>197</v>
      </c>
      <c r="AK14" s="137" t="s">
        <v>272</v>
      </c>
      <c r="AL14" s="137" t="s">
        <v>733</v>
      </c>
      <c r="AM14" s="137">
        <v>0</v>
      </c>
    </row>
  </sheetData>
  <phoneticPr fontId="27"/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AB10"/>
  <sheetViews>
    <sheetView workbookViewId="0">
      <pane ySplit="1" topLeftCell="A5" activePane="bottomLeft" state="frozen"/>
      <selection pane="bottomLeft" activeCell="I23" sqref="I23"/>
    </sheetView>
  </sheetViews>
  <sheetFormatPr defaultRowHeight="13.5"/>
  <cols>
    <col min="1" max="1" width="50" style="134" customWidth="1"/>
    <col min="2" max="2" width="10.875" style="134" bestFit="1" customWidth="1"/>
    <col min="3" max="3" width="5.875" style="134" bestFit="1" customWidth="1"/>
    <col min="4" max="5" width="11.625" style="134" bestFit="1" customWidth="1"/>
    <col min="6" max="6" width="6.5" style="134" bestFit="1" customWidth="1"/>
    <col min="7" max="8" width="7" style="134" bestFit="1" customWidth="1"/>
    <col min="9" max="9" width="11.375" style="134" bestFit="1" customWidth="1"/>
    <col min="10" max="10" width="13.125" style="134" bestFit="1" customWidth="1"/>
    <col min="11" max="11" width="12.625" style="134" bestFit="1" customWidth="1"/>
    <col min="12" max="13" width="9.875" style="134" bestFit="1" customWidth="1"/>
    <col min="14" max="14" width="13.625" style="134" bestFit="1" customWidth="1"/>
    <col min="15" max="15" width="6.25" style="134" bestFit="1" customWidth="1"/>
    <col min="16" max="16" width="11.625" style="134" bestFit="1" customWidth="1"/>
    <col min="17" max="17" width="19.875" style="134" bestFit="1" customWidth="1"/>
    <col min="18" max="18" width="16.625" style="134" bestFit="1" customWidth="1"/>
    <col min="19" max="19" width="18.75" style="134" bestFit="1" customWidth="1"/>
    <col min="20" max="20" width="10" style="134" bestFit="1" customWidth="1"/>
    <col min="21" max="21" width="10.5" style="134" bestFit="1" customWidth="1"/>
    <col min="22" max="22" width="19.875" style="134" bestFit="1" customWidth="1"/>
    <col min="23" max="23" width="15.5" style="134" bestFit="1" customWidth="1"/>
    <col min="24" max="24" width="17.625" style="134" bestFit="1" customWidth="1"/>
    <col min="25" max="25" width="9" style="134"/>
    <col min="26" max="26" width="7.75" style="134" bestFit="1" customWidth="1"/>
    <col min="27" max="27" width="19.875" style="134" bestFit="1" customWidth="1"/>
    <col min="28" max="28" width="7.375" style="134" bestFit="1" customWidth="1"/>
    <col min="29" max="16384" width="9" style="134"/>
  </cols>
  <sheetData>
    <row r="1" spans="1:28">
      <c r="A1" s="135" t="s">
        <v>126</v>
      </c>
      <c r="B1" s="135" t="s">
        <v>127</v>
      </c>
      <c r="C1" s="151" t="s">
        <v>179</v>
      </c>
      <c r="D1" s="151" t="s">
        <v>534</v>
      </c>
      <c r="E1" s="152" t="s">
        <v>535</v>
      </c>
      <c r="F1" s="152" t="s">
        <v>738</v>
      </c>
      <c r="G1" s="152" t="s">
        <v>739</v>
      </c>
      <c r="H1" s="152" t="s">
        <v>740</v>
      </c>
      <c r="I1" s="152" t="s">
        <v>741</v>
      </c>
      <c r="J1" s="152" t="s">
        <v>742</v>
      </c>
      <c r="K1" s="152" t="s">
        <v>601</v>
      </c>
      <c r="L1" s="152" t="s">
        <v>132</v>
      </c>
      <c r="M1" s="152" t="s">
        <v>133</v>
      </c>
      <c r="N1" s="152" t="s">
        <v>134</v>
      </c>
      <c r="O1" s="152" t="s">
        <v>157</v>
      </c>
      <c r="P1" s="152" t="s">
        <v>158</v>
      </c>
      <c r="Q1" s="152" t="s">
        <v>159</v>
      </c>
      <c r="R1" s="152" t="s">
        <v>160</v>
      </c>
      <c r="S1" s="152" t="s">
        <v>161</v>
      </c>
      <c r="T1" s="152" t="s">
        <v>162</v>
      </c>
      <c r="U1" s="152" t="s">
        <v>163</v>
      </c>
      <c r="V1" s="152" t="s">
        <v>164</v>
      </c>
      <c r="W1" s="152" t="s">
        <v>165</v>
      </c>
      <c r="X1" s="152" t="s">
        <v>166</v>
      </c>
      <c r="Y1" s="152" t="s">
        <v>167</v>
      </c>
      <c r="Z1" s="152" t="s">
        <v>168</v>
      </c>
      <c r="AA1" s="152" t="s">
        <v>189</v>
      </c>
      <c r="AB1" s="152" t="s">
        <v>169</v>
      </c>
    </row>
    <row r="2" spans="1:28" ht="67.5">
      <c r="A2" s="161" t="s">
        <v>1118</v>
      </c>
      <c r="B2" s="137" t="s">
        <v>754</v>
      </c>
      <c r="C2" s="160" t="s">
        <v>866</v>
      </c>
      <c r="D2" s="137" t="s">
        <v>735</v>
      </c>
      <c r="E2" s="137" t="s">
        <v>736</v>
      </c>
      <c r="F2" s="137" t="s">
        <v>553</v>
      </c>
      <c r="G2" s="137" t="s">
        <v>518</v>
      </c>
      <c r="H2" s="137" t="s">
        <v>528</v>
      </c>
      <c r="I2" s="137" t="s">
        <v>521</v>
      </c>
      <c r="J2" s="137" t="s">
        <v>744</v>
      </c>
      <c r="K2" s="137" t="s">
        <v>743</v>
      </c>
      <c r="L2" s="137" t="s">
        <v>97</v>
      </c>
      <c r="M2" s="137" t="s">
        <v>98</v>
      </c>
      <c r="N2" s="137" t="s">
        <v>99</v>
      </c>
      <c r="O2" s="137" t="s">
        <v>520</v>
      </c>
      <c r="P2" s="137" t="s">
        <v>101</v>
      </c>
      <c r="Q2" s="137" t="s">
        <v>693</v>
      </c>
      <c r="R2" s="137" t="s">
        <v>103</v>
      </c>
      <c r="S2" s="137" t="s">
        <v>104</v>
      </c>
      <c r="T2" s="137" t="s">
        <v>105</v>
      </c>
      <c r="U2" s="137" t="s">
        <v>107</v>
      </c>
      <c r="V2" s="137" t="s">
        <v>592</v>
      </c>
      <c r="W2" s="137" t="s">
        <v>109</v>
      </c>
      <c r="X2" s="137" t="s">
        <v>110</v>
      </c>
      <c r="Y2" s="137" t="s">
        <v>111</v>
      </c>
      <c r="Z2" s="137" t="s">
        <v>112</v>
      </c>
      <c r="AA2" s="137" t="s">
        <v>593</v>
      </c>
      <c r="AB2" s="137">
        <v>0</v>
      </c>
    </row>
    <row r="3" spans="1:28" ht="135">
      <c r="A3" s="162" t="s">
        <v>1119</v>
      </c>
      <c r="B3" s="137" t="s">
        <v>754</v>
      </c>
      <c r="C3" s="137" t="s">
        <v>619</v>
      </c>
      <c r="D3" s="137" t="s">
        <v>735</v>
      </c>
      <c r="E3" s="160" t="s">
        <v>737</v>
      </c>
      <c r="F3" s="137" t="s">
        <v>553</v>
      </c>
      <c r="G3" s="137" t="s">
        <v>518</v>
      </c>
      <c r="H3" s="137" t="s">
        <v>528</v>
      </c>
      <c r="I3" s="137" t="s">
        <v>521</v>
      </c>
      <c r="J3" s="137" t="s">
        <v>744</v>
      </c>
      <c r="K3" s="137" t="s">
        <v>743</v>
      </c>
      <c r="L3" s="137" t="s">
        <v>97</v>
      </c>
      <c r="M3" s="137" t="s">
        <v>98</v>
      </c>
      <c r="N3" s="137" t="s">
        <v>99</v>
      </c>
      <c r="O3" s="137" t="s">
        <v>520</v>
      </c>
      <c r="P3" s="137" t="s">
        <v>101</v>
      </c>
      <c r="Q3" s="137" t="s">
        <v>693</v>
      </c>
      <c r="R3" s="137" t="s">
        <v>103</v>
      </c>
      <c r="S3" s="137" t="s">
        <v>104</v>
      </c>
      <c r="T3" s="137" t="s">
        <v>105</v>
      </c>
      <c r="U3" s="137" t="s">
        <v>107</v>
      </c>
      <c r="V3" s="137" t="s">
        <v>592</v>
      </c>
      <c r="W3" s="137" t="s">
        <v>109</v>
      </c>
      <c r="X3" s="137" t="s">
        <v>110</v>
      </c>
      <c r="Y3" s="137" t="s">
        <v>111</v>
      </c>
      <c r="Z3" s="137" t="s">
        <v>112</v>
      </c>
      <c r="AA3" s="137" t="s">
        <v>593</v>
      </c>
      <c r="AB3" s="137">
        <v>0</v>
      </c>
    </row>
    <row r="4" spans="1:28" ht="94.5">
      <c r="A4" s="162" t="s">
        <v>1120</v>
      </c>
      <c r="B4" s="137" t="s">
        <v>754</v>
      </c>
      <c r="C4" s="137" t="s">
        <v>533</v>
      </c>
      <c r="D4" s="160" t="s">
        <v>737</v>
      </c>
      <c r="E4" s="137" t="s">
        <v>561</v>
      </c>
      <c r="F4" s="137" t="s">
        <v>553</v>
      </c>
      <c r="G4" s="137" t="s">
        <v>518</v>
      </c>
      <c r="H4" s="137" t="s">
        <v>528</v>
      </c>
      <c r="I4" s="137" t="s">
        <v>521</v>
      </c>
      <c r="J4" s="137" t="s">
        <v>520</v>
      </c>
      <c r="K4" s="137" t="s">
        <v>604</v>
      </c>
      <c r="L4" s="137" t="s">
        <v>97</v>
      </c>
      <c r="M4" s="137" t="s">
        <v>98</v>
      </c>
      <c r="N4" s="137" t="s">
        <v>99</v>
      </c>
      <c r="O4" s="137" t="s">
        <v>520</v>
      </c>
      <c r="P4" s="137" t="s">
        <v>101</v>
      </c>
      <c r="Q4" s="137" t="s">
        <v>693</v>
      </c>
      <c r="R4" s="137" t="s">
        <v>103</v>
      </c>
      <c r="S4" s="137" t="s">
        <v>104</v>
      </c>
      <c r="T4" s="137" t="s">
        <v>105</v>
      </c>
      <c r="U4" s="137" t="s">
        <v>107</v>
      </c>
      <c r="V4" s="137" t="s">
        <v>592</v>
      </c>
      <c r="W4" s="137" t="s">
        <v>109</v>
      </c>
      <c r="X4" s="137" t="s">
        <v>110</v>
      </c>
      <c r="Y4" s="137" t="s">
        <v>111</v>
      </c>
      <c r="Z4" s="137" t="s">
        <v>112</v>
      </c>
      <c r="AA4" s="137" t="s">
        <v>593</v>
      </c>
      <c r="AB4" s="137">
        <v>0</v>
      </c>
    </row>
    <row r="5" spans="1:28" ht="94.5">
      <c r="A5" s="161" t="s">
        <v>1121</v>
      </c>
      <c r="B5" s="137" t="s">
        <v>754</v>
      </c>
      <c r="C5" s="137" t="s">
        <v>69</v>
      </c>
      <c r="D5" s="137" t="s">
        <v>563</v>
      </c>
      <c r="E5" s="160" t="s">
        <v>735</v>
      </c>
      <c r="F5" s="137" t="s">
        <v>553</v>
      </c>
      <c r="G5" s="137" t="s">
        <v>518</v>
      </c>
      <c r="H5" s="137" t="s">
        <v>528</v>
      </c>
      <c r="I5" s="137" t="s">
        <v>521</v>
      </c>
      <c r="J5" s="137" t="s">
        <v>520</v>
      </c>
      <c r="K5" s="137" t="s">
        <v>604</v>
      </c>
      <c r="L5" s="137" t="s">
        <v>97</v>
      </c>
      <c r="M5" s="137" t="s">
        <v>98</v>
      </c>
      <c r="N5" s="137" t="s">
        <v>99</v>
      </c>
      <c r="O5" s="137" t="s">
        <v>520</v>
      </c>
      <c r="P5" s="137" t="s">
        <v>101</v>
      </c>
      <c r="Q5" s="137" t="s">
        <v>693</v>
      </c>
      <c r="R5" s="137" t="s">
        <v>103</v>
      </c>
      <c r="S5" s="137" t="s">
        <v>104</v>
      </c>
      <c r="T5" s="137" t="s">
        <v>105</v>
      </c>
      <c r="U5" s="137" t="s">
        <v>107</v>
      </c>
      <c r="V5" s="137" t="s">
        <v>592</v>
      </c>
      <c r="W5" s="137" t="s">
        <v>109</v>
      </c>
      <c r="X5" s="137" t="s">
        <v>110</v>
      </c>
      <c r="Y5" s="137" t="s">
        <v>111</v>
      </c>
      <c r="Z5" s="137" t="s">
        <v>112</v>
      </c>
      <c r="AA5" s="137" t="s">
        <v>593</v>
      </c>
      <c r="AB5" s="137">
        <v>0</v>
      </c>
    </row>
    <row r="6" spans="1:28" ht="94.5">
      <c r="A6" s="161" t="s">
        <v>1122</v>
      </c>
      <c r="B6" s="137" t="s">
        <v>754</v>
      </c>
      <c r="C6" s="137" t="s">
        <v>72</v>
      </c>
      <c r="D6" s="160" t="s">
        <v>736</v>
      </c>
      <c r="E6" s="137" t="s">
        <v>561</v>
      </c>
      <c r="F6" s="137" t="s">
        <v>553</v>
      </c>
      <c r="G6" s="137" t="s">
        <v>518</v>
      </c>
      <c r="H6" s="137" t="s">
        <v>528</v>
      </c>
      <c r="I6" s="137" t="s">
        <v>521</v>
      </c>
      <c r="J6" s="137" t="s">
        <v>520</v>
      </c>
      <c r="K6" s="137" t="s">
        <v>604</v>
      </c>
      <c r="L6" s="137" t="s">
        <v>97</v>
      </c>
      <c r="M6" s="137" t="s">
        <v>98</v>
      </c>
      <c r="N6" s="137" t="s">
        <v>99</v>
      </c>
      <c r="O6" s="137" t="s">
        <v>520</v>
      </c>
      <c r="P6" s="137" t="s">
        <v>101</v>
      </c>
      <c r="Q6" s="137" t="s">
        <v>693</v>
      </c>
      <c r="R6" s="137" t="s">
        <v>103</v>
      </c>
      <c r="S6" s="137" t="s">
        <v>104</v>
      </c>
      <c r="T6" s="137" t="s">
        <v>105</v>
      </c>
      <c r="U6" s="137" t="s">
        <v>107</v>
      </c>
      <c r="V6" s="137" t="s">
        <v>592</v>
      </c>
      <c r="W6" s="137" t="s">
        <v>109</v>
      </c>
      <c r="X6" s="137" t="s">
        <v>110</v>
      </c>
      <c r="Y6" s="137" t="s">
        <v>111</v>
      </c>
      <c r="Z6" s="137" t="s">
        <v>112</v>
      </c>
      <c r="AA6" s="137" t="s">
        <v>593</v>
      </c>
      <c r="AB6" s="137">
        <v>0</v>
      </c>
    </row>
    <row r="7" spans="1:28" ht="27">
      <c r="A7" s="162" t="s">
        <v>1123</v>
      </c>
      <c r="B7" s="137" t="s">
        <v>754</v>
      </c>
      <c r="C7" s="137" t="s">
        <v>73</v>
      </c>
      <c r="D7" s="160" t="s">
        <v>753</v>
      </c>
      <c r="E7" s="160" t="s">
        <v>560</v>
      </c>
      <c r="F7" s="137" t="s">
        <v>553</v>
      </c>
      <c r="G7" s="137" t="s">
        <v>518</v>
      </c>
      <c r="H7" s="137" t="s">
        <v>528</v>
      </c>
      <c r="I7" s="137" t="s">
        <v>521</v>
      </c>
      <c r="J7" s="137" t="s">
        <v>520</v>
      </c>
      <c r="K7" s="137" t="s">
        <v>604</v>
      </c>
      <c r="L7" s="137" t="s">
        <v>97</v>
      </c>
      <c r="M7" s="137" t="s">
        <v>98</v>
      </c>
      <c r="N7" s="137" t="s">
        <v>99</v>
      </c>
      <c r="O7" s="137" t="s">
        <v>520</v>
      </c>
      <c r="P7" s="137" t="s">
        <v>101</v>
      </c>
      <c r="Q7" s="137" t="s">
        <v>693</v>
      </c>
      <c r="R7" s="137" t="s">
        <v>103</v>
      </c>
      <c r="S7" s="137" t="s">
        <v>104</v>
      </c>
      <c r="T7" s="137" t="s">
        <v>105</v>
      </c>
      <c r="U7" s="137" t="s">
        <v>107</v>
      </c>
      <c r="V7" s="137" t="s">
        <v>592</v>
      </c>
      <c r="W7" s="137" t="s">
        <v>109</v>
      </c>
      <c r="X7" s="137" t="s">
        <v>110</v>
      </c>
      <c r="Y7" s="137" t="s">
        <v>111</v>
      </c>
      <c r="Z7" s="137" t="s">
        <v>112</v>
      </c>
      <c r="AA7" s="137" t="s">
        <v>593</v>
      </c>
      <c r="AB7" s="137">
        <v>0</v>
      </c>
    </row>
    <row r="8" spans="1:28" ht="81">
      <c r="A8" s="161" t="s">
        <v>1124</v>
      </c>
      <c r="B8" s="137" t="s">
        <v>754</v>
      </c>
      <c r="C8" s="137" t="s">
        <v>74</v>
      </c>
      <c r="D8" s="137" t="s">
        <v>563</v>
      </c>
      <c r="E8" s="137" t="s">
        <v>561</v>
      </c>
      <c r="F8" s="137" t="s">
        <v>553</v>
      </c>
      <c r="G8" s="137" t="s">
        <v>518</v>
      </c>
      <c r="H8" s="137" t="s">
        <v>528</v>
      </c>
      <c r="I8" s="137" t="s">
        <v>521</v>
      </c>
      <c r="J8" s="137" t="s">
        <v>520</v>
      </c>
      <c r="K8" s="160" t="s">
        <v>744</v>
      </c>
      <c r="L8" s="137" t="s">
        <v>97</v>
      </c>
      <c r="M8" s="137" t="s">
        <v>98</v>
      </c>
      <c r="N8" s="137" t="s">
        <v>99</v>
      </c>
      <c r="O8" s="137" t="s">
        <v>520</v>
      </c>
      <c r="P8" s="137" t="s">
        <v>101</v>
      </c>
      <c r="Q8" s="137" t="s">
        <v>693</v>
      </c>
      <c r="R8" s="137" t="s">
        <v>103</v>
      </c>
      <c r="S8" s="137" t="s">
        <v>104</v>
      </c>
      <c r="T8" s="137" t="s">
        <v>105</v>
      </c>
      <c r="U8" s="137" t="s">
        <v>107</v>
      </c>
      <c r="V8" s="137" t="s">
        <v>592</v>
      </c>
      <c r="W8" s="137" t="s">
        <v>109</v>
      </c>
      <c r="X8" s="137" t="s">
        <v>110</v>
      </c>
      <c r="Y8" s="137" t="s">
        <v>111</v>
      </c>
      <c r="Z8" s="137" t="s">
        <v>112</v>
      </c>
      <c r="AA8" s="137" t="s">
        <v>593</v>
      </c>
      <c r="AB8" s="137">
        <v>0</v>
      </c>
    </row>
    <row r="9" spans="1:28" ht="67.5">
      <c r="A9" s="161" t="s">
        <v>1125</v>
      </c>
      <c r="B9" s="137" t="s">
        <v>754</v>
      </c>
      <c r="C9" s="137" t="s">
        <v>94</v>
      </c>
      <c r="D9" s="137" t="s">
        <v>563</v>
      </c>
      <c r="E9" s="137" t="s">
        <v>561</v>
      </c>
      <c r="F9" s="137" t="s">
        <v>553</v>
      </c>
      <c r="G9" s="137" t="s">
        <v>518</v>
      </c>
      <c r="H9" s="137" t="s">
        <v>528</v>
      </c>
      <c r="I9" s="137" t="s">
        <v>521</v>
      </c>
      <c r="J9" s="160" t="s">
        <v>745</v>
      </c>
      <c r="K9" s="137" t="s">
        <v>604</v>
      </c>
      <c r="L9" s="137" t="s">
        <v>97</v>
      </c>
      <c r="M9" s="137" t="s">
        <v>98</v>
      </c>
      <c r="N9" s="137" t="s">
        <v>99</v>
      </c>
      <c r="O9" s="137" t="s">
        <v>520</v>
      </c>
      <c r="P9" s="137" t="s">
        <v>101</v>
      </c>
      <c r="Q9" s="137" t="s">
        <v>693</v>
      </c>
      <c r="R9" s="137" t="s">
        <v>103</v>
      </c>
      <c r="S9" s="137" t="s">
        <v>104</v>
      </c>
      <c r="T9" s="137" t="s">
        <v>105</v>
      </c>
      <c r="U9" s="137" t="s">
        <v>107</v>
      </c>
      <c r="V9" s="137" t="s">
        <v>592</v>
      </c>
      <c r="W9" s="137" t="s">
        <v>109</v>
      </c>
      <c r="X9" s="137" t="s">
        <v>110</v>
      </c>
      <c r="Y9" s="137" t="s">
        <v>111</v>
      </c>
      <c r="Z9" s="137" t="s">
        <v>112</v>
      </c>
      <c r="AA9" s="137" t="s">
        <v>593</v>
      </c>
      <c r="AB9" s="137">
        <v>0</v>
      </c>
    </row>
    <row r="10" spans="1:28" ht="40.5">
      <c r="A10" s="161" t="s">
        <v>872</v>
      </c>
      <c r="B10" s="137" t="s">
        <v>754</v>
      </c>
      <c r="C10" s="137" t="s">
        <v>839</v>
      </c>
      <c r="D10" s="137" t="s">
        <v>563</v>
      </c>
      <c r="E10" s="137" t="s">
        <v>561</v>
      </c>
      <c r="F10" s="137" t="s">
        <v>553</v>
      </c>
      <c r="G10" s="137" t="s">
        <v>518</v>
      </c>
      <c r="H10" s="137" t="s">
        <v>528</v>
      </c>
      <c r="I10" s="137" t="s">
        <v>521</v>
      </c>
      <c r="J10" s="160" t="s">
        <v>566</v>
      </c>
      <c r="K10" s="137" t="s">
        <v>604</v>
      </c>
      <c r="L10" s="137" t="s">
        <v>97</v>
      </c>
      <c r="M10" s="137" t="s">
        <v>98</v>
      </c>
      <c r="N10" s="137" t="s">
        <v>99</v>
      </c>
      <c r="O10" s="137" t="s">
        <v>520</v>
      </c>
      <c r="P10" s="137" t="s">
        <v>101</v>
      </c>
      <c r="Q10" s="137" t="s">
        <v>693</v>
      </c>
      <c r="R10" s="137" t="s">
        <v>103</v>
      </c>
      <c r="S10" s="137" t="s">
        <v>104</v>
      </c>
      <c r="T10" s="137" t="s">
        <v>105</v>
      </c>
      <c r="U10" s="137" t="s">
        <v>107</v>
      </c>
      <c r="V10" s="137" t="s">
        <v>592</v>
      </c>
      <c r="W10" s="137" t="s">
        <v>109</v>
      </c>
      <c r="X10" s="137" t="s">
        <v>110</v>
      </c>
      <c r="Y10" s="137" t="s">
        <v>111</v>
      </c>
      <c r="Z10" s="137" t="s">
        <v>112</v>
      </c>
      <c r="AA10" s="137" t="s">
        <v>593</v>
      </c>
      <c r="AB10" s="137">
        <v>0</v>
      </c>
    </row>
  </sheetData>
  <phoneticPr fontId="27"/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3"/>
  </sheetPr>
  <dimension ref="A1:BN1"/>
  <sheetViews>
    <sheetView workbookViewId="0">
      <pane ySplit="1" topLeftCell="A2" activePane="bottomLeft" state="frozen"/>
      <selection pane="bottomLeft" activeCell="J40" sqref="J40"/>
    </sheetView>
  </sheetViews>
  <sheetFormatPr defaultRowHeight="13.5"/>
  <cols>
    <col min="1" max="1" width="9.125" style="134" customWidth="1"/>
    <col min="2" max="2" width="10.125" style="134" bestFit="1" customWidth="1"/>
    <col min="3" max="3" width="10.875" style="134" bestFit="1" customWidth="1"/>
    <col min="4" max="4" width="7.5" style="134" bestFit="1" customWidth="1"/>
    <col min="5" max="5" width="6.5" style="134" bestFit="1" customWidth="1"/>
    <col min="6" max="6" width="9.375" style="134" bestFit="1" customWidth="1"/>
    <col min="7" max="7" width="18.875" style="134" bestFit="1" customWidth="1"/>
    <col min="8" max="8" width="8.125" style="134" bestFit="1" customWidth="1"/>
    <col min="9" max="9" width="13.125" style="134" bestFit="1" customWidth="1"/>
    <col min="10" max="10" width="8.625" style="134" bestFit="1" customWidth="1"/>
    <col min="11" max="12" width="9.875" style="134" bestFit="1" customWidth="1"/>
    <col min="13" max="14" width="13.625" style="134" bestFit="1" customWidth="1"/>
    <col min="15" max="15" width="16" style="134" bestFit="1" customWidth="1"/>
    <col min="16" max="16" width="7.5" style="134" bestFit="1" customWidth="1"/>
    <col min="17" max="17" width="6.25" style="134" bestFit="1" customWidth="1"/>
    <col min="18" max="18" width="5.875" style="134" bestFit="1" customWidth="1"/>
    <col min="19" max="19" width="7.625" style="134" bestFit="1" customWidth="1"/>
    <col min="20" max="20" width="13.125" style="134" bestFit="1" customWidth="1"/>
    <col min="21" max="21" width="13.75" style="134" bestFit="1" customWidth="1"/>
    <col min="22" max="22" width="7.625" style="134" bestFit="1" customWidth="1"/>
    <col min="23" max="23" width="19.375" style="134" bestFit="1" customWidth="1"/>
    <col min="24" max="24" width="11.625" style="134" bestFit="1" customWidth="1"/>
    <col min="25" max="25" width="10" style="134" bestFit="1" customWidth="1"/>
    <col min="26" max="26" width="10.5" style="134" bestFit="1" customWidth="1"/>
    <col min="27" max="27" width="7.125" style="134" bestFit="1" customWidth="1"/>
    <col min="28" max="28" width="6.125" style="134" bestFit="1" customWidth="1"/>
    <col min="29" max="29" width="3.875" style="134" bestFit="1" customWidth="1"/>
    <col min="30" max="30" width="12.5" style="134" bestFit="1" customWidth="1"/>
    <col min="31" max="31" width="20.625" style="134" bestFit="1" customWidth="1"/>
    <col min="32" max="32" width="6.75" style="134" bestFit="1" customWidth="1"/>
    <col min="33" max="33" width="7.375" style="134" bestFit="1" customWidth="1"/>
    <col min="34" max="34" width="7.875" style="134" bestFit="1" customWidth="1"/>
    <col min="35" max="35" width="10.5" style="134" bestFit="1" customWidth="1"/>
    <col min="36" max="36" width="15.875" style="134" bestFit="1" customWidth="1"/>
    <col min="37" max="37" width="16.5" style="134" bestFit="1" customWidth="1"/>
    <col min="38" max="39" width="17.125" style="134" bestFit="1" customWidth="1"/>
    <col min="40" max="40" width="17.75" style="134" bestFit="1" customWidth="1"/>
    <col min="41" max="41" width="18.375" style="134" bestFit="1" customWidth="1"/>
    <col min="42" max="42" width="16" style="134" bestFit="1" customWidth="1"/>
    <col min="43" max="43" width="16.625" style="134" bestFit="1" customWidth="1"/>
    <col min="44" max="44" width="17.25" style="134" bestFit="1" customWidth="1"/>
    <col min="45" max="45" width="12.5" style="134" bestFit="1" customWidth="1"/>
    <col min="46" max="46" width="13.125" style="134" bestFit="1" customWidth="1"/>
    <col min="47" max="47" width="13.75" style="134" bestFit="1" customWidth="1"/>
    <col min="48" max="48" width="11" style="134" bestFit="1" customWidth="1"/>
    <col min="49" max="49" width="10" style="134" bestFit="1" customWidth="1"/>
    <col min="50" max="50" width="6.125" style="134" bestFit="1" customWidth="1"/>
    <col min="51" max="51" width="17.5" style="134" bestFit="1" customWidth="1"/>
    <col min="52" max="52" width="10.25" style="134" bestFit="1" customWidth="1"/>
    <col min="53" max="53" width="6.25" style="134" bestFit="1" customWidth="1"/>
    <col min="54" max="54" width="11.625" style="134" bestFit="1" customWidth="1"/>
    <col min="55" max="55" width="19.875" style="134" bestFit="1" customWidth="1"/>
    <col min="56" max="56" width="16.625" style="134" bestFit="1" customWidth="1"/>
    <col min="57" max="57" width="18.75" style="134" bestFit="1" customWidth="1"/>
    <col min="58" max="58" width="10" style="134" bestFit="1" customWidth="1"/>
    <col min="59" max="59" width="10.5" style="134" bestFit="1" customWidth="1"/>
    <col min="60" max="60" width="19.875" style="134" bestFit="1" customWidth="1"/>
    <col min="61" max="61" width="15.5" style="134" bestFit="1" customWidth="1"/>
    <col min="62" max="62" width="17.625" style="134" bestFit="1" customWidth="1"/>
    <col min="63" max="63" width="9" style="134"/>
    <col min="64" max="64" width="7.75" style="134" bestFit="1" customWidth="1"/>
    <col min="65" max="65" width="19.875" style="134" bestFit="1" customWidth="1"/>
    <col min="66" max="66" width="7.375" style="134" bestFit="1" customWidth="1"/>
    <col min="67" max="16384" width="9" style="134"/>
  </cols>
  <sheetData>
    <row r="1" spans="1:66">
      <c r="A1" s="153" t="s">
        <v>198</v>
      </c>
      <c r="B1" s="135" t="s">
        <v>126</v>
      </c>
      <c r="C1" s="135" t="s">
        <v>127</v>
      </c>
      <c r="D1" s="151" t="s">
        <v>128</v>
      </c>
      <c r="E1" s="151" t="s">
        <v>190</v>
      </c>
      <c r="F1" s="151" t="s">
        <v>138</v>
      </c>
      <c r="G1" s="151" t="s">
        <v>171</v>
      </c>
      <c r="H1" s="152" t="s">
        <v>129</v>
      </c>
      <c r="I1" s="152" t="s">
        <v>130</v>
      </c>
      <c r="J1" s="152" t="s">
        <v>131</v>
      </c>
      <c r="K1" s="152" t="s">
        <v>132</v>
      </c>
      <c r="L1" s="152" t="s">
        <v>133</v>
      </c>
      <c r="M1" s="152" t="s">
        <v>134</v>
      </c>
      <c r="N1" s="152" t="s">
        <v>135</v>
      </c>
      <c r="O1" s="152" t="s">
        <v>136</v>
      </c>
      <c r="P1" s="152" t="s">
        <v>137</v>
      </c>
      <c r="Q1" s="152" t="s">
        <v>178</v>
      </c>
      <c r="R1" s="152" t="s">
        <v>179</v>
      </c>
      <c r="S1" s="152" t="s">
        <v>170</v>
      </c>
      <c r="T1" s="152" t="s">
        <v>191</v>
      </c>
      <c r="U1" s="152" t="s">
        <v>192</v>
      </c>
      <c r="V1" s="152" t="s">
        <v>193</v>
      </c>
      <c r="W1" s="152" t="s">
        <v>172</v>
      </c>
      <c r="X1" s="152" t="s">
        <v>194</v>
      </c>
      <c r="Y1" s="152" t="s">
        <v>139</v>
      </c>
      <c r="Z1" s="152" t="s">
        <v>140</v>
      </c>
      <c r="AA1" s="152" t="s">
        <v>142</v>
      </c>
      <c r="AB1" s="152" t="s">
        <v>141</v>
      </c>
      <c r="AC1" s="152" t="s">
        <v>155</v>
      </c>
      <c r="AD1" s="152" t="s">
        <v>180</v>
      </c>
      <c r="AE1" s="152" t="s">
        <v>156</v>
      </c>
      <c r="AF1" s="152" t="s">
        <v>181</v>
      </c>
      <c r="AG1" s="152" t="s">
        <v>182</v>
      </c>
      <c r="AH1" s="152" t="s">
        <v>183</v>
      </c>
      <c r="AI1" s="152" t="s">
        <v>184</v>
      </c>
      <c r="AJ1" s="152" t="s">
        <v>143</v>
      </c>
      <c r="AK1" s="152" t="s">
        <v>144</v>
      </c>
      <c r="AL1" s="152" t="s">
        <v>145</v>
      </c>
      <c r="AM1" s="152" t="s">
        <v>146</v>
      </c>
      <c r="AN1" s="152" t="s">
        <v>147</v>
      </c>
      <c r="AO1" s="152" t="s">
        <v>148</v>
      </c>
      <c r="AP1" s="152" t="s">
        <v>149</v>
      </c>
      <c r="AQ1" s="152" t="s">
        <v>150</v>
      </c>
      <c r="AR1" s="152" t="s">
        <v>151</v>
      </c>
      <c r="AS1" s="152" t="s">
        <v>152</v>
      </c>
      <c r="AT1" s="152" t="s">
        <v>153</v>
      </c>
      <c r="AU1" s="152" t="s">
        <v>154</v>
      </c>
      <c r="AV1" s="152" t="s">
        <v>185</v>
      </c>
      <c r="AW1" s="152" t="s">
        <v>186</v>
      </c>
      <c r="AX1" s="152" t="s">
        <v>187</v>
      </c>
      <c r="AY1" s="152" t="s">
        <v>188</v>
      </c>
      <c r="AZ1" s="152" t="s">
        <v>195</v>
      </c>
      <c r="BA1" s="152" t="s">
        <v>157</v>
      </c>
      <c r="BB1" s="152" t="s">
        <v>158</v>
      </c>
      <c r="BC1" s="152" t="s">
        <v>159</v>
      </c>
      <c r="BD1" s="152" t="s">
        <v>160</v>
      </c>
      <c r="BE1" s="152" t="s">
        <v>161</v>
      </c>
      <c r="BF1" s="152" t="s">
        <v>162</v>
      </c>
      <c r="BG1" s="152" t="s">
        <v>163</v>
      </c>
      <c r="BH1" s="152" t="s">
        <v>164</v>
      </c>
      <c r="BI1" s="152" t="s">
        <v>165</v>
      </c>
      <c r="BJ1" s="152" t="s">
        <v>166</v>
      </c>
      <c r="BK1" s="152" t="s">
        <v>167</v>
      </c>
      <c r="BL1" s="152" t="s">
        <v>168</v>
      </c>
      <c r="BM1" s="152" t="s">
        <v>189</v>
      </c>
      <c r="BN1" s="152" t="s">
        <v>169</v>
      </c>
    </row>
  </sheetData>
  <phoneticPr fontId="27"/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47"/>
  </sheetPr>
  <dimension ref="A1:BH10"/>
  <sheetViews>
    <sheetView topLeftCell="T1" workbookViewId="0">
      <pane ySplit="1" topLeftCell="A2" activePane="bottomLeft" state="frozen"/>
      <selection pane="bottomLeft" activeCell="AE1" sqref="AE1"/>
    </sheetView>
  </sheetViews>
  <sheetFormatPr defaultRowHeight="13.5"/>
  <cols>
    <col min="1" max="1" width="9.25" style="134" customWidth="1"/>
    <col min="2" max="2" width="10.125" style="134" bestFit="1" customWidth="1"/>
    <col min="3" max="3" width="10.875" style="134" bestFit="1" customWidth="1"/>
    <col min="4" max="4" width="7.5" style="134" bestFit="1" customWidth="1"/>
    <col min="5" max="5" width="6.5" style="134" bestFit="1" customWidth="1"/>
    <col min="6" max="6" width="9.375" style="134" bestFit="1" customWidth="1"/>
    <col min="7" max="7" width="18.875" style="134" bestFit="1" customWidth="1"/>
    <col min="8" max="8" width="8.125" style="134" bestFit="1" customWidth="1"/>
    <col min="9" max="9" width="13.125" style="134" bestFit="1" customWidth="1"/>
    <col min="10" max="10" width="8.625" style="134" bestFit="1" customWidth="1"/>
    <col min="11" max="12" width="9.875" style="134" bestFit="1" customWidth="1"/>
    <col min="13" max="14" width="13.625" style="134" bestFit="1" customWidth="1"/>
    <col min="15" max="15" width="16" style="134" bestFit="1" customWidth="1"/>
    <col min="16" max="16" width="5.75" style="134" bestFit="1" customWidth="1"/>
    <col min="17" max="17" width="6.25" style="134" bestFit="1" customWidth="1"/>
    <col min="18" max="18" width="5.875" style="134" bestFit="1" customWidth="1"/>
    <col min="19" max="19" width="7.625" style="134" bestFit="1" customWidth="1"/>
    <col min="20" max="20" width="13.125" style="134" bestFit="1" customWidth="1"/>
    <col min="21" max="21" width="13.75" style="134" bestFit="1" customWidth="1"/>
    <col min="22" max="22" width="7.625" style="134" bestFit="1" customWidth="1"/>
    <col min="23" max="23" width="19.375" style="134" bestFit="1" customWidth="1"/>
    <col min="24" max="24" width="11.625" style="134" bestFit="1" customWidth="1"/>
    <col min="25" max="25" width="10" style="134" bestFit="1" customWidth="1"/>
    <col min="26" max="26" width="10.5" style="134" bestFit="1" customWidth="1"/>
    <col min="27" max="27" width="7.125" style="134" bestFit="1" customWidth="1"/>
    <col min="28" max="28" width="6.125" style="134" bestFit="1" customWidth="1"/>
    <col min="29" max="29" width="3.875" style="134" bestFit="1" customWidth="1"/>
    <col min="30" max="30" width="12.5" style="134" bestFit="1" customWidth="1"/>
    <col min="31" max="31" width="20.625" style="134" bestFit="1" customWidth="1"/>
    <col min="32" max="32" width="6.75" style="134" bestFit="1" customWidth="1"/>
    <col min="33" max="33" width="7.375" style="134" bestFit="1" customWidth="1"/>
    <col min="34" max="34" width="7.875" style="134" bestFit="1" customWidth="1"/>
    <col min="35" max="35" width="10.5" style="134" bestFit="1" customWidth="1"/>
    <col min="36" max="36" width="15.875" style="134" bestFit="1" customWidth="1"/>
    <col min="37" max="37" width="16.5" style="134" bestFit="1" customWidth="1"/>
    <col min="38" max="39" width="17.125" style="134" bestFit="1" customWidth="1"/>
    <col min="40" max="40" width="17.75" style="134" bestFit="1" customWidth="1"/>
    <col min="41" max="41" width="18.375" style="134" bestFit="1" customWidth="1"/>
    <col min="42" max="42" width="16" style="134" bestFit="1" customWidth="1"/>
    <col min="43" max="43" width="16.625" style="134" bestFit="1" customWidth="1"/>
    <col min="44" max="44" width="17.25" style="134" bestFit="1" customWidth="1"/>
    <col min="45" max="45" width="12.5" style="134" bestFit="1" customWidth="1"/>
    <col min="46" max="46" width="13.125" style="134" bestFit="1" customWidth="1"/>
    <col min="47" max="47" width="13.75" style="134" bestFit="1" customWidth="1"/>
    <col min="48" max="48" width="11" style="134" bestFit="1" customWidth="1"/>
    <col min="49" max="49" width="10" style="134" bestFit="1" customWidth="1"/>
    <col min="50" max="50" width="6.125" style="134" bestFit="1" customWidth="1"/>
    <col min="51" max="51" width="17.5" style="134" bestFit="1" customWidth="1"/>
    <col min="52" max="52" width="10.25" style="134" bestFit="1" customWidth="1"/>
    <col min="53" max="53" width="6.25" style="134" bestFit="1" customWidth="1"/>
    <col min="54" max="54" width="11.625" style="134" bestFit="1" customWidth="1"/>
    <col min="55" max="55" width="16.625" style="134" bestFit="1" customWidth="1"/>
    <col min="56" max="56" width="18.75" style="134" bestFit="1" customWidth="1"/>
    <col min="57" max="57" width="10.5" style="134" bestFit="1" customWidth="1"/>
    <col min="58" max="58" width="15.5" style="134" bestFit="1" customWidth="1"/>
    <col min="59" max="59" width="17.625" style="134" bestFit="1" customWidth="1"/>
    <col min="60" max="60" width="7.375" style="134" bestFit="1" customWidth="1"/>
    <col min="61" max="16384" width="9" style="134"/>
  </cols>
  <sheetData>
    <row r="1" spans="1:60">
      <c r="A1" s="153" t="s">
        <v>198</v>
      </c>
      <c r="B1" s="135" t="s">
        <v>126</v>
      </c>
      <c r="C1" s="135" t="s">
        <v>127</v>
      </c>
      <c r="D1" s="151" t="s">
        <v>128</v>
      </c>
      <c r="E1" s="151" t="s">
        <v>190</v>
      </c>
      <c r="F1" s="151" t="s">
        <v>138</v>
      </c>
      <c r="G1" s="151" t="s">
        <v>171</v>
      </c>
      <c r="H1" s="152" t="s">
        <v>129</v>
      </c>
      <c r="I1" s="152" t="s">
        <v>130</v>
      </c>
      <c r="J1" s="152" t="s">
        <v>131</v>
      </c>
      <c r="K1" s="152" t="s">
        <v>132</v>
      </c>
      <c r="L1" s="152" t="s">
        <v>133</v>
      </c>
      <c r="M1" s="152" t="s">
        <v>134</v>
      </c>
      <c r="N1" s="152" t="s">
        <v>135</v>
      </c>
      <c r="O1" s="152" t="s">
        <v>136</v>
      </c>
      <c r="P1" s="152" t="s">
        <v>137</v>
      </c>
      <c r="Q1" s="152" t="s">
        <v>178</v>
      </c>
      <c r="R1" s="152" t="s">
        <v>179</v>
      </c>
      <c r="S1" s="152" t="s">
        <v>170</v>
      </c>
      <c r="T1" s="152" t="s">
        <v>191</v>
      </c>
      <c r="U1" s="152" t="s">
        <v>192</v>
      </c>
      <c r="V1" s="152" t="s">
        <v>193</v>
      </c>
      <c r="W1" s="152" t="s">
        <v>172</v>
      </c>
      <c r="X1" s="152" t="s">
        <v>194</v>
      </c>
      <c r="Y1" s="152" t="s">
        <v>139</v>
      </c>
      <c r="Z1" s="152" t="s">
        <v>140</v>
      </c>
      <c r="AA1" s="152" t="s">
        <v>142</v>
      </c>
      <c r="AB1" s="152" t="s">
        <v>141</v>
      </c>
      <c r="AC1" s="152" t="s">
        <v>155</v>
      </c>
      <c r="AD1" s="152" t="s">
        <v>180</v>
      </c>
      <c r="AE1" s="152" t="s">
        <v>156</v>
      </c>
      <c r="AF1" s="152" t="s">
        <v>181</v>
      </c>
      <c r="AG1" s="152" t="s">
        <v>182</v>
      </c>
      <c r="AH1" s="152" t="s">
        <v>183</v>
      </c>
      <c r="AI1" s="152" t="s">
        <v>184</v>
      </c>
      <c r="AJ1" s="152" t="s">
        <v>143</v>
      </c>
      <c r="AK1" s="152" t="s">
        <v>144</v>
      </c>
      <c r="AL1" s="152" t="s">
        <v>145</v>
      </c>
      <c r="AM1" s="152" t="s">
        <v>146</v>
      </c>
      <c r="AN1" s="152" t="s">
        <v>147</v>
      </c>
      <c r="AO1" s="152" t="s">
        <v>148</v>
      </c>
      <c r="AP1" s="152" t="s">
        <v>149</v>
      </c>
      <c r="AQ1" s="152" t="s">
        <v>150</v>
      </c>
      <c r="AR1" s="152" t="s">
        <v>151</v>
      </c>
      <c r="AS1" s="152" t="s">
        <v>152</v>
      </c>
      <c r="AT1" s="152" t="s">
        <v>153</v>
      </c>
      <c r="AU1" s="152" t="s">
        <v>154</v>
      </c>
      <c r="AV1" s="152" t="s">
        <v>185</v>
      </c>
      <c r="AW1" s="152" t="s">
        <v>186</v>
      </c>
      <c r="AX1" s="152" t="s">
        <v>187</v>
      </c>
      <c r="AY1" s="152" t="s">
        <v>188</v>
      </c>
      <c r="AZ1" s="152" t="s">
        <v>195</v>
      </c>
      <c r="BA1" s="152" t="s">
        <v>157</v>
      </c>
      <c r="BB1" s="152" t="s">
        <v>158</v>
      </c>
      <c r="BC1" s="152" t="s">
        <v>160</v>
      </c>
      <c r="BD1" s="152" t="s">
        <v>161</v>
      </c>
      <c r="BE1" s="152" t="s">
        <v>163</v>
      </c>
      <c r="BF1" s="152" t="s">
        <v>165</v>
      </c>
      <c r="BG1" s="152" t="s">
        <v>166</v>
      </c>
      <c r="BH1" s="152" t="s">
        <v>169</v>
      </c>
    </row>
    <row r="2" spans="1:60">
      <c r="A2" s="137"/>
      <c r="B2" s="137"/>
      <c r="C2" s="137"/>
      <c r="D2" s="137">
        <v>1</v>
      </c>
      <c r="E2" s="137">
        <v>1</v>
      </c>
      <c r="F2" s="137">
        <v>1</v>
      </c>
      <c r="G2" s="137" t="s">
        <v>559</v>
      </c>
      <c r="H2" s="137" t="s">
        <v>553</v>
      </c>
      <c r="I2" s="137" t="s">
        <v>518</v>
      </c>
      <c r="J2" s="137" t="s">
        <v>528</v>
      </c>
      <c r="K2" s="137" t="s">
        <v>521</v>
      </c>
      <c r="L2" s="137" t="s">
        <v>604</v>
      </c>
      <c r="M2" s="137" t="s">
        <v>528</v>
      </c>
      <c r="N2" s="137" t="s">
        <v>107</v>
      </c>
      <c r="O2" s="137" t="s">
        <v>109</v>
      </c>
      <c r="P2" s="137" t="s">
        <v>110</v>
      </c>
      <c r="Q2" s="137" t="s">
        <v>111</v>
      </c>
      <c r="R2" s="137">
        <v>1</v>
      </c>
      <c r="S2" s="137" t="s">
        <v>199</v>
      </c>
      <c r="T2" s="137" t="s">
        <v>504</v>
      </c>
      <c r="U2" s="137" t="s">
        <v>517</v>
      </c>
      <c r="V2" s="137" t="s">
        <v>518</v>
      </c>
      <c r="W2" s="137" t="s">
        <v>517</v>
      </c>
      <c r="X2" s="137" t="s">
        <v>527</v>
      </c>
      <c r="Y2" s="137" t="s">
        <v>516</v>
      </c>
      <c r="Z2" s="137" t="s">
        <v>528</v>
      </c>
      <c r="AA2" s="137" t="s">
        <v>1013</v>
      </c>
      <c r="AB2" s="137" t="s">
        <v>553</v>
      </c>
      <c r="AC2" s="137">
        <v>64</v>
      </c>
      <c r="AD2" s="137">
        <v>67</v>
      </c>
      <c r="AE2" s="137">
        <v>8</v>
      </c>
      <c r="AF2" s="137">
        <v>3</v>
      </c>
      <c r="AG2" s="137" t="s">
        <v>528</v>
      </c>
      <c r="AH2" s="137" t="s">
        <v>528</v>
      </c>
      <c r="AI2" s="137" t="s">
        <v>529</v>
      </c>
      <c r="AJ2" s="137">
        <v>3</v>
      </c>
      <c r="AK2" s="137" t="s">
        <v>528</v>
      </c>
      <c r="AL2" s="137" t="s">
        <v>529</v>
      </c>
      <c r="AM2" s="137">
        <v>4</v>
      </c>
      <c r="AN2" s="137" t="s">
        <v>528</v>
      </c>
      <c r="AO2" s="137" t="s">
        <v>529</v>
      </c>
      <c r="AP2" s="137">
        <v>7</v>
      </c>
      <c r="AQ2" s="137" t="s">
        <v>528</v>
      </c>
      <c r="AR2" s="137" t="s">
        <v>529</v>
      </c>
      <c r="AS2" s="137">
        <v>10</v>
      </c>
      <c r="AT2" s="137" t="s">
        <v>528</v>
      </c>
      <c r="AU2" s="137" t="s">
        <v>529</v>
      </c>
      <c r="AV2" s="137">
        <v>4</v>
      </c>
      <c r="AW2" s="137" t="s">
        <v>516</v>
      </c>
      <c r="AX2" s="137">
        <v>-62</v>
      </c>
      <c r="AY2" s="137">
        <v>8</v>
      </c>
      <c r="AZ2" s="137" t="s">
        <v>604</v>
      </c>
      <c r="BA2" s="137" t="s">
        <v>520</v>
      </c>
      <c r="BB2" s="137" t="s">
        <v>1014</v>
      </c>
      <c r="BC2" s="137" t="s">
        <v>1015</v>
      </c>
      <c r="BD2" s="137" t="s">
        <v>1016</v>
      </c>
      <c r="BE2" s="137" t="s">
        <v>1014</v>
      </c>
      <c r="BF2" s="137" t="s">
        <v>1015</v>
      </c>
      <c r="BG2" s="137" t="s">
        <v>1016</v>
      </c>
      <c r="BH2" s="137">
        <v>0</v>
      </c>
    </row>
    <row r="3" spans="1:60">
      <c r="A3" s="137"/>
      <c r="B3" s="137"/>
      <c r="C3" s="137"/>
      <c r="D3" s="137">
        <v>1</v>
      </c>
      <c r="E3" s="137">
        <v>2</v>
      </c>
      <c r="F3" s="137">
        <v>2</v>
      </c>
      <c r="G3" s="137" t="s">
        <v>559</v>
      </c>
      <c r="H3" s="137" t="s">
        <v>553</v>
      </c>
      <c r="I3" s="137" t="s">
        <v>518</v>
      </c>
      <c r="J3" s="137" t="s">
        <v>528</v>
      </c>
      <c r="K3" s="137" t="s">
        <v>521</v>
      </c>
      <c r="L3" s="137" t="s">
        <v>604</v>
      </c>
      <c r="M3" s="137" t="s">
        <v>528</v>
      </c>
      <c r="N3" s="137" t="s">
        <v>107</v>
      </c>
      <c r="O3" s="137" t="s">
        <v>109</v>
      </c>
      <c r="P3" s="137" t="s">
        <v>110</v>
      </c>
      <c r="Q3" s="137" t="s">
        <v>111</v>
      </c>
      <c r="R3" s="137">
        <v>1</v>
      </c>
      <c r="S3" s="137" t="s">
        <v>199</v>
      </c>
      <c r="T3" s="137" t="s">
        <v>504</v>
      </c>
      <c r="U3" s="137" t="s">
        <v>517</v>
      </c>
      <c r="V3" s="137" t="s">
        <v>518</v>
      </c>
      <c r="W3" s="137" t="s">
        <v>517</v>
      </c>
      <c r="X3" s="137" t="s">
        <v>527</v>
      </c>
      <c r="Y3" s="137" t="s">
        <v>516</v>
      </c>
      <c r="Z3" s="137" t="s">
        <v>528</v>
      </c>
      <c r="AA3" s="137" t="s">
        <v>1013</v>
      </c>
      <c r="AB3" s="137" t="s">
        <v>553</v>
      </c>
      <c r="AC3" s="137">
        <v>64</v>
      </c>
      <c r="AD3" s="137">
        <v>67</v>
      </c>
      <c r="AE3" s="137">
        <v>8</v>
      </c>
      <c r="AF3" s="137">
        <v>3</v>
      </c>
      <c r="AG3" s="137" t="s">
        <v>528</v>
      </c>
      <c r="AH3" s="137" t="s">
        <v>528</v>
      </c>
      <c r="AI3" s="137" t="s">
        <v>529</v>
      </c>
      <c r="AJ3" s="137">
        <v>3</v>
      </c>
      <c r="AK3" s="137" t="s">
        <v>528</v>
      </c>
      <c r="AL3" s="137" t="s">
        <v>529</v>
      </c>
      <c r="AM3" s="137">
        <v>4</v>
      </c>
      <c r="AN3" s="137" t="s">
        <v>528</v>
      </c>
      <c r="AO3" s="137" t="s">
        <v>529</v>
      </c>
      <c r="AP3" s="137">
        <v>7</v>
      </c>
      <c r="AQ3" s="137" t="s">
        <v>528</v>
      </c>
      <c r="AR3" s="137" t="s">
        <v>529</v>
      </c>
      <c r="AS3" s="137">
        <v>10</v>
      </c>
      <c r="AT3" s="137" t="s">
        <v>528</v>
      </c>
      <c r="AU3" s="137" t="s">
        <v>529</v>
      </c>
      <c r="AV3" s="137">
        <v>4</v>
      </c>
      <c r="AW3" s="137" t="s">
        <v>516</v>
      </c>
      <c r="AX3" s="137">
        <v>-62</v>
      </c>
      <c r="AY3" s="137">
        <v>8</v>
      </c>
      <c r="AZ3" s="137" t="s">
        <v>604</v>
      </c>
      <c r="BA3" s="137" t="s">
        <v>520</v>
      </c>
      <c r="BB3" s="137" t="s">
        <v>1014</v>
      </c>
      <c r="BC3" s="137" t="s">
        <v>1015</v>
      </c>
      <c r="BD3" s="137" t="s">
        <v>1016</v>
      </c>
      <c r="BE3" s="137" t="s">
        <v>1014</v>
      </c>
      <c r="BF3" s="137" t="s">
        <v>1015</v>
      </c>
      <c r="BG3" s="137" t="s">
        <v>1016</v>
      </c>
      <c r="BH3" s="137">
        <v>0</v>
      </c>
    </row>
    <row r="4" spans="1:60">
      <c r="A4" s="137"/>
      <c r="B4" s="137"/>
      <c r="C4" s="137"/>
      <c r="D4" s="137">
        <v>1</v>
      </c>
      <c r="E4" s="137">
        <v>5</v>
      </c>
      <c r="F4" s="137">
        <v>4</v>
      </c>
      <c r="G4" s="137" t="s">
        <v>559</v>
      </c>
      <c r="H4" s="137" t="s">
        <v>553</v>
      </c>
      <c r="I4" s="137" t="s">
        <v>518</v>
      </c>
      <c r="J4" s="137" t="s">
        <v>528</v>
      </c>
      <c r="K4" s="137" t="s">
        <v>521</v>
      </c>
      <c r="L4" s="137" t="s">
        <v>604</v>
      </c>
      <c r="M4" s="137" t="s">
        <v>528</v>
      </c>
      <c r="N4" s="137" t="s">
        <v>107</v>
      </c>
      <c r="O4" s="137" t="s">
        <v>109</v>
      </c>
      <c r="P4" s="137" t="s">
        <v>110</v>
      </c>
      <c r="Q4" s="137" t="s">
        <v>111</v>
      </c>
      <c r="R4" s="137">
        <v>1</v>
      </c>
      <c r="S4" s="137" t="s">
        <v>462</v>
      </c>
      <c r="T4" s="137" t="s">
        <v>504</v>
      </c>
      <c r="U4" s="137" t="s">
        <v>517</v>
      </c>
      <c r="V4" s="137" t="s">
        <v>518</v>
      </c>
      <c r="W4" s="137" t="s">
        <v>517</v>
      </c>
      <c r="X4" s="137" t="s">
        <v>527</v>
      </c>
      <c r="Y4" s="137" t="s">
        <v>516</v>
      </c>
      <c r="Z4" s="137" t="s">
        <v>528</v>
      </c>
      <c r="AA4" s="137" t="s">
        <v>1013</v>
      </c>
      <c r="AB4" s="137" t="s">
        <v>553</v>
      </c>
      <c r="AC4" s="137">
        <v>64</v>
      </c>
      <c r="AD4" s="137">
        <v>67</v>
      </c>
      <c r="AE4" s="137">
        <v>8</v>
      </c>
      <c r="AF4" s="137">
        <v>3</v>
      </c>
      <c r="AG4" s="137" t="s">
        <v>528</v>
      </c>
      <c r="AH4" s="137" t="s">
        <v>528</v>
      </c>
      <c r="AI4" s="137" t="s">
        <v>529</v>
      </c>
      <c r="AJ4" s="137">
        <v>3</v>
      </c>
      <c r="AK4" s="137" t="s">
        <v>528</v>
      </c>
      <c r="AL4" s="137" t="s">
        <v>529</v>
      </c>
      <c r="AM4" s="137">
        <v>4</v>
      </c>
      <c r="AN4" s="137" t="s">
        <v>528</v>
      </c>
      <c r="AO4" s="137" t="s">
        <v>529</v>
      </c>
      <c r="AP4" s="137">
        <v>7</v>
      </c>
      <c r="AQ4" s="137" t="s">
        <v>528</v>
      </c>
      <c r="AR4" s="137" t="s">
        <v>529</v>
      </c>
      <c r="AS4" s="137">
        <v>10</v>
      </c>
      <c r="AT4" s="137" t="s">
        <v>528</v>
      </c>
      <c r="AU4" s="137" t="s">
        <v>529</v>
      </c>
      <c r="AV4" s="137">
        <v>4</v>
      </c>
      <c r="AW4" s="137" t="s">
        <v>516</v>
      </c>
      <c r="AX4" s="137">
        <v>-62</v>
      </c>
      <c r="AY4" s="137">
        <v>8</v>
      </c>
      <c r="AZ4" s="137" t="s">
        <v>565</v>
      </c>
      <c r="BA4" s="137" t="s">
        <v>520</v>
      </c>
      <c r="BB4" s="137" t="s">
        <v>1014</v>
      </c>
      <c r="BC4" s="137" t="s">
        <v>1015</v>
      </c>
      <c r="BD4" s="137" t="s">
        <v>1016</v>
      </c>
      <c r="BE4" s="137" t="s">
        <v>1014</v>
      </c>
      <c r="BF4" s="137" t="s">
        <v>1015</v>
      </c>
      <c r="BG4" s="137" t="s">
        <v>1016</v>
      </c>
      <c r="BH4" s="137">
        <v>0</v>
      </c>
    </row>
    <row r="5" spans="1:60">
      <c r="A5" s="137"/>
      <c r="B5" s="137"/>
      <c r="C5" s="137"/>
      <c r="D5" s="137">
        <v>2</v>
      </c>
      <c r="E5" s="137">
        <v>1</v>
      </c>
      <c r="F5" s="137">
        <v>1</v>
      </c>
      <c r="G5" s="137" t="s">
        <v>559</v>
      </c>
      <c r="H5" s="137" t="s">
        <v>553</v>
      </c>
      <c r="I5" s="137" t="s">
        <v>518</v>
      </c>
      <c r="J5" s="137" t="s">
        <v>528</v>
      </c>
      <c r="K5" s="137" t="s">
        <v>521</v>
      </c>
      <c r="L5" s="137" t="s">
        <v>604</v>
      </c>
      <c r="M5" s="137" t="s">
        <v>528</v>
      </c>
      <c r="N5" s="137" t="s">
        <v>107</v>
      </c>
      <c r="O5" s="137" t="s">
        <v>109</v>
      </c>
      <c r="P5" s="137" t="s">
        <v>110</v>
      </c>
      <c r="Q5" s="137" t="s">
        <v>111</v>
      </c>
      <c r="R5" s="137">
        <v>2</v>
      </c>
      <c r="S5" s="137" t="s">
        <v>199</v>
      </c>
      <c r="T5" s="137" t="s">
        <v>504</v>
      </c>
      <c r="U5" s="137" t="s">
        <v>517</v>
      </c>
      <c r="V5" s="137" t="s">
        <v>518</v>
      </c>
      <c r="W5" s="137" t="s">
        <v>517</v>
      </c>
      <c r="X5" s="137" t="s">
        <v>527</v>
      </c>
      <c r="Y5" s="137" t="s">
        <v>516</v>
      </c>
      <c r="Z5" s="137" t="s">
        <v>528</v>
      </c>
      <c r="AA5" s="137" t="s">
        <v>1013</v>
      </c>
      <c r="AB5" s="137" t="s">
        <v>553</v>
      </c>
      <c r="AC5" s="137">
        <v>64</v>
      </c>
      <c r="AD5" s="137">
        <v>67</v>
      </c>
      <c r="AE5" s="137">
        <v>8</v>
      </c>
      <c r="AF5" s="137">
        <v>3</v>
      </c>
      <c r="AG5" s="137" t="s">
        <v>528</v>
      </c>
      <c r="AH5" s="137" t="s">
        <v>528</v>
      </c>
      <c r="AI5" s="137" t="s">
        <v>529</v>
      </c>
      <c r="AJ5" s="137">
        <v>3</v>
      </c>
      <c r="AK5" s="137" t="s">
        <v>528</v>
      </c>
      <c r="AL5" s="137" t="s">
        <v>529</v>
      </c>
      <c r="AM5" s="137">
        <v>4</v>
      </c>
      <c r="AN5" s="137" t="s">
        <v>528</v>
      </c>
      <c r="AO5" s="137" t="s">
        <v>529</v>
      </c>
      <c r="AP5" s="137">
        <v>7</v>
      </c>
      <c r="AQ5" s="137" t="s">
        <v>528</v>
      </c>
      <c r="AR5" s="137" t="s">
        <v>529</v>
      </c>
      <c r="AS5" s="137">
        <v>10</v>
      </c>
      <c r="AT5" s="137" t="s">
        <v>528</v>
      </c>
      <c r="AU5" s="137" t="s">
        <v>529</v>
      </c>
      <c r="AV5" s="137">
        <v>4</v>
      </c>
      <c r="AW5" s="137" t="s">
        <v>516</v>
      </c>
      <c r="AX5" s="137">
        <v>-62</v>
      </c>
      <c r="AY5" s="137">
        <v>8</v>
      </c>
      <c r="AZ5" s="137" t="s">
        <v>604</v>
      </c>
      <c r="BA5" s="137" t="s">
        <v>520</v>
      </c>
      <c r="BB5" s="137" t="s">
        <v>1014</v>
      </c>
      <c r="BC5" s="137" t="s">
        <v>1015</v>
      </c>
      <c r="BD5" s="137" t="s">
        <v>1016</v>
      </c>
      <c r="BE5" s="137" t="s">
        <v>1014</v>
      </c>
      <c r="BF5" s="137" t="s">
        <v>1015</v>
      </c>
      <c r="BG5" s="137" t="s">
        <v>1016</v>
      </c>
      <c r="BH5" s="137">
        <v>0</v>
      </c>
    </row>
    <row r="6" spans="1:60">
      <c r="A6" s="137"/>
      <c r="B6" s="137"/>
      <c r="C6" s="137"/>
      <c r="D6" s="137">
        <v>2</v>
      </c>
      <c r="E6" s="137">
        <v>2</v>
      </c>
      <c r="F6" s="137">
        <v>2</v>
      </c>
      <c r="G6" s="137" t="s">
        <v>559</v>
      </c>
      <c r="H6" s="137" t="s">
        <v>553</v>
      </c>
      <c r="I6" s="137" t="s">
        <v>518</v>
      </c>
      <c r="J6" s="137" t="s">
        <v>528</v>
      </c>
      <c r="K6" s="137" t="s">
        <v>521</v>
      </c>
      <c r="L6" s="137" t="s">
        <v>604</v>
      </c>
      <c r="M6" s="137" t="s">
        <v>528</v>
      </c>
      <c r="N6" s="137" t="s">
        <v>107</v>
      </c>
      <c r="O6" s="137" t="s">
        <v>109</v>
      </c>
      <c r="P6" s="137" t="s">
        <v>110</v>
      </c>
      <c r="Q6" s="137" t="s">
        <v>111</v>
      </c>
      <c r="R6" s="137">
        <v>2</v>
      </c>
      <c r="S6" s="137" t="s">
        <v>199</v>
      </c>
      <c r="T6" s="137" t="s">
        <v>504</v>
      </c>
      <c r="U6" s="137" t="s">
        <v>517</v>
      </c>
      <c r="V6" s="137" t="s">
        <v>518</v>
      </c>
      <c r="W6" s="137" t="s">
        <v>517</v>
      </c>
      <c r="X6" s="137" t="s">
        <v>527</v>
      </c>
      <c r="Y6" s="137" t="s">
        <v>516</v>
      </c>
      <c r="Z6" s="137" t="s">
        <v>528</v>
      </c>
      <c r="AA6" s="137" t="s">
        <v>1013</v>
      </c>
      <c r="AB6" s="137" t="s">
        <v>553</v>
      </c>
      <c r="AC6" s="137">
        <v>64</v>
      </c>
      <c r="AD6" s="137">
        <v>67</v>
      </c>
      <c r="AE6" s="137">
        <v>8</v>
      </c>
      <c r="AF6" s="137">
        <v>3</v>
      </c>
      <c r="AG6" s="137" t="s">
        <v>528</v>
      </c>
      <c r="AH6" s="137" t="s">
        <v>528</v>
      </c>
      <c r="AI6" s="137" t="s">
        <v>529</v>
      </c>
      <c r="AJ6" s="137">
        <v>3</v>
      </c>
      <c r="AK6" s="137" t="s">
        <v>528</v>
      </c>
      <c r="AL6" s="137" t="s">
        <v>529</v>
      </c>
      <c r="AM6" s="137">
        <v>4</v>
      </c>
      <c r="AN6" s="137" t="s">
        <v>528</v>
      </c>
      <c r="AO6" s="137" t="s">
        <v>529</v>
      </c>
      <c r="AP6" s="137">
        <v>7</v>
      </c>
      <c r="AQ6" s="137" t="s">
        <v>528</v>
      </c>
      <c r="AR6" s="137" t="s">
        <v>529</v>
      </c>
      <c r="AS6" s="137">
        <v>10</v>
      </c>
      <c r="AT6" s="137" t="s">
        <v>528</v>
      </c>
      <c r="AU6" s="137" t="s">
        <v>1028</v>
      </c>
      <c r="AV6" s="137">
        <v>4</v>
      </c>
      <c r="AW6" s="137" t="s">
        <v>516</v>
      </c>
      <c r="AX6" s="137">
        <v>-62</v>
      </c>
      <c r="AY6" s="137">
        <v>8</v>
      </c>
      <c r="AZ6" s="137" t="s">
        <v>604</v>
      </c>
      <c r="BA6" s="137" t="s">
        <v>520</v>
      </c>
      <c r="BB6" s="137" t="s">
        <v>1014</v>
      </c>
      <c r="BC6" s="137" t="s">
        <v>1015</v>
      </c>
      <c r="BD6" s="137" t="s">
        <v>1016</v>
      </c>
      <c r="BE6" s="137" t="s">
        <v>1014</v>
      </c>
      <c r="BF6" s="137" t="s">
        <v>1015</v>
      </c>
      <c r="BG6" s="137" t="s">
        <v>1016</v>
      </c>
      <c r="BH6" s="137">
        <v>0</v>
      </c>
    </row>
    <row r="7" spans="1:60">
      <c r="A7" s="137"/>
      <c r="B7" s="137"/>
      <c r="C7" s="137"/>
      <c r="D7" s="137">
        <v>2</v>
      </c>
      <c r="E7" s="137">
        <v>5</v>
      </c>
      <c r="F7" s="137">
        <v>4</v>
      </c>
      <c r="G7" s="137" t="s">
        <v>559</v>
      </c>
      <c r="H7" s="137" t="s">
        <v>553</v>
      </c>
      <c r="I7" s="137" t="s">
        <v>518</v>
      </c>
      <c r="J7" s="137" t="s">
        <v>528</v>
      </c>
      <c r="K7" s="137" t="s">
        <v>521</v>
      </c>
      <c r="L7" s="137" t="s">
        <v>604</v>
      </c>
      <c r="M7" s="137" t="s">
        <v>528</v>
      </c>
      <c r="N7" s="137" t="s">
        <v>107</v>
      </c>
      <c r="O7" s="137" t="s">
        <v>109</v>
      </c>
      <c r="P7" s="137" t="s">
        <v>110</v>
      </c>
      <c r="Q7" s="137" t="s">
        <v>111</v>
      </c>
      <c r="R7" s="137">
        <v>2</v>
      </c>
      <c r="S7" s="137" t="s">
        <v>462</v>
      </c>
      <c r="T7" s="137" t="s">
        <v>504</v>
      </c>
      <c r="U7" s="137" t="s">
        <v>517</v>
      </c>
      <c r="V7" s="137" t="s">
        <v>518</v>
      </c>
      <c r="W7" s="137" t="s">
        <v>517</v>
      </c>
      <c r="X7" s="137" t="s">
        <v>527</v>
      </c>
      <c r="Y7" s="137" t="s">
        <v>516</v>
      </c>
      <c r="Z7" s="137" t="s">
        <v>528</v>
      </c>
      <c r="AA7" s="137" t="s">
        <v>1013</v>
      </c>
      <c r="AB7" s="137" t="s">
        <v>553</v>
      </c>
      <c r="AC7" s="137">
        <v>64</v>
      </c>
      <c r="AD7" s="137">
        <v>67</v>
      </c>
      <c r="AE7" s="137">
        <v>8</v>
      </c>
      <c r="AF7" s="137">
        <v>3</v>
      </c>
      <c r="AG7" s="137" t="s">
        <v>528</v>
      </c>
      <c r="AH7" s="137" t="s">
        <v>528</v>
      </c>
      <c r="AI7" s="137" t="s">
        <v>529</v>
      </c>
      <c r="AJ7" s="137">
        <v>3</v>
      </c>
      <c r="AK7" s="137" t="s">
        <v>528</v>
      </c>
      <c r="AL7" s="137" t="s">
        <v>529</v>
      </c>
      <c r="AM7" s="137">
        <v>4</v>
      </c>
      <c r="AN7" s="137" t="s">
        <v>528</v>
      </c>
      <c r="AO7" s="137" t="s">
        <v>529</v>
      </c>
      <c r="AP7" s="137">
        <v>7</v>
      </c>
      <c r="AQ7" s="137" t="s">
        <v>528</v>
      </c>
      <c r="AR7" s="137" t="s">
        <v>529</v>
      </c>
      <c r="AS7" s="137">
        <v>10</v>
      </c>
      <c r="AT7" s="137" t="s">
        <v>528</v>
      </c>
      <c r="AU7" s="137" t="s">
        <v>529</v>
      </c>
      <c r="AV7" s="137">
        <v>4</v>
      </c>
      <c r="AW7" s="137" t="s">
        <v>516</v>
      </c>
      <c r="AX7" s="137">
        <v>-62</v>
      </c>
      <c r="AY7" s="137">
        <v>8</v>
      </c>
      <c r="AZ7" s="137" t="s">
        <v>565</v>
      </c>
      <c r="BA7" s="137" t="s">
        <v>520</v>
      </c>
      <c r="BB7" s="137" t="s">
        <v>1014</v>
      </c>
      <c r="BC7" s="137" t="s">
        <v>1015</v>
      </c>
      <c r="BD7" s="137" t="s">
        <v>1016</v>
      </c>
      <c r="BE7" s="137" t="s">
        <v>1014</v>
      </c>
      <c r="BF7" s="137" t="s">
        <v>1015</v>
      </c>
      <c r="BG7" s="137" t="s">
        <v>1016</v>
      </c>
      <c r="BH7" s="137">
        <v>0</v>
      </c>
    </row>
    <row r="8" spans="1:60">
      <c r="A8" s="137"/>
      <c r="B8" s="137"/>
      <c r="C8" s="137"/>
      <c r="D8" s="137">
        <v>5</v>
      </c>
      <c r="E8" s="137">
        <v>1</v>
      </c>
      <c r="F8" s="137">
        <v>1</v>
      </c>
      <c r="G8" s="137" t="s">
        <v>559</v>
      </c>
      <c r="H8" s="137" t="s">
        <v>553</v>
      </c>
      <c r="I8" s="137" t="s">
        <v>518</v>
      </c>
      <c r="J8" s="137" t="s">
        <v>528</v>
      </c>
      <c r="K8" s="137" t="s">
        <v>521</v>
      </c>
      <c r="L8" s="137" t="s">
        <v>604</v>
      </c>
      <c r="M8" s="137" t="s">
        <v>528</v>
      </c>
      <c r="N8" s="137" t="s">
        <v>107</v>
      </c>
      <c r="O8" s="137" t="s">
        <v>109</v>
      </c>
      <c r="P8" s="137" t="s">
        <v>110</v>
      </c>
      <c r="Q8" s="137" t="s">
        <v>111</v>
      </c>
      <c r="R8" s="137">
        <v>5</v>
      </c>
      <c r="S8" s="137" t="s">
        <v>199</v>
      </c>
      <c r="T8" s="137" t="s">
        <v>504</v>
      </c>
      <c r="U8" s="137" t="s">
        <v>517</v>
      </c>
      <c r="V8" s="137" t="s">
        <v>518</v>
      </c>
      <c r="W8" s="137" t="s">
        <v>517</v>
      </c>
      <c r="X8" s="137" t="s">
        <v>527</v>
      </c>
      <c r="Y8" s="137" t="s">
        <v>516</v>
      </c>
      <c r="Z8" s="137" t="s">
        <v>528</v>
      </c>
      <c r="AA8" s="137" t="s">
        <v>1013</v>
      </c>
      <c r="AB8" s="137" t="s">
        <v>553</v>
      </c>
      <c r="AC8" s="137">
        <v>64</v>
      </c>
      <c r="AD8" s="137">
        <v>67</v>
      </c>
      <c r="AE8" s="137">
        <v>8</v>
      </c>
      <c r="AF8" s="137">
        <v>3</v>
      </c>
      <c r="AG8" s="137" t="s">
        <v>528</v>
      </c>
      <c r="AH8" s="137" t="s">
        <v>528</v>
      </c>
      <c r="AI8" s="137" t="s">
        <v>529</v>
      </c>
      <c r="AJ8" s="137">
        <v>3</v>
      </c>
      <c r="AK8" s="137" t="s">
        <v>528</v>
      </c>
      <c r="AL8" s="137" t="s">
        <v>529</v>
      </c>
      <c r="AM8" s="137">
        <v>4</v>
      </c>
      <c r="AN8" s="137" t="s">
        <v>528</v>
      </c>
      <c r="AO8" s="137" t="s">
        <v>529</v>
      </c>
      <c r="AP8" s="137">
        <v>7</v>
      </c>
      <c r="AQ8" s="137" t="s">
        <v>528</v>
      </c>
      <c r="AR8" s="137" t="s">
        <v>529</v>
      </c>
      <c r="AS8" s="137">
        <v>10</v>
      </c>
      <c r="AT8" s="137" t="s">
        <v>528</v>
      </c>
      <c r="AU8" s="137" t="s">
        <v>529</v>
      </c>
      <c r="AV8" s="137">
        <v>4</v>
      </c>
      <c r="AW8" s="137" t="s">
        <v>516</v>
      </c>
      <c r="AX8" s="137">
        <v>-62</v>
      </c>
      <c r="AY8" s="137">
        <v>8</v>
      </c>
      <c r="AZ8" s="137" t="s">
        <v>604</v>
      </c>
      <c r="BA8" s="137" t="s">
        <v>520</v>
      </c>
      <c r="BB8" s="137" t="s">
        <v>1014</v>
      </c>
      <c r="BC8" s="137" t="s">
        <v>1015</v>
      </c>
      <c r="BD8" s="137" t="s">
        <v>1016</v>
      </c>
      <c r="BE8" s="137" t="s">
        <v>1014</v>
      </c>
      <c r="BF8" s="137" t="s">
        <v>1015</v>
      </c>
      <c r="BG8" s="137" t="s">
        <v>1016</v>
      </c>
      <c r="BH8" s="137">
        <v>0</v>
      </c>
    </row>
    <row r="9" spans="1:60">
      <c r="A9" s="137"/>
      <c r="B9" s="137"/>
      <c r="C9" s="137"/>
      <c r="D9" s="137">
        <v>5</v>
      </c>
      <c r="E9" s="137">
        <v>2</v>
      </c>
      <c r="F9" s="137">
        <v>2</v>
      </c>
      <c r="G9" s="137" t="s">
        <v>559</v>
      </c>
      <c r="H9" s="137" t="s">
        <v>553</v>
      </c>
      <c r="I9" s="137" t="s">
        <v>518</v>
      </c>
      <c r="J9" s="137" t="s">
        <v>528</v>
      </c>
      <c r="K9" s="137" t="s">
        <v>521</v>
      </c>
      <c r="L9" s="137" t="s">
        <v>604</v>
      </c>
      <c r="M9" s="137" t="s">
        <v>528</v>
      </c>
      <c r="N9" s="137" t="s">
        <v>107</v>
      </c>
      <c r="O9" s="137" t="s">
        <v>109</v>
      </c>
      <c r="P9" s="137" t="s">
        <v>110</v>
      </c>
      <c r="Q9" s="137" t="s">
        <v>111</v>
      </c>
      <c r="R9" s="137">
        <v>5</v>
      </c>
      <c r="S9" s="137" t="s">
        <v>199</v>
      </c>
      <c r="T9" s="137" t="s">
        <v>504</v>
      </c>
      <c r="U9" s="137" t="s">
        <v>517</v>
      </c>
      <c r="V9" s="137" t="s">
        <v>518</v>
      </c>
      <c r="W9" s="137" t="s">
        <v>517</v>
      </c>
      <c r="X9" s="137" t="s">
        <v>527</v>
      </c>
      <c r="Y9" s="137" t="s">
        <v>516</v>
      </c>
      <c r="Z9" s="137" t="s">
        <v>528</v>
      </c>
      <c r="AA9" s="137" t="s">
        <v>1013</v>
      </c>
      <c r="AB9" s="137" t="s">
        <v>553</v>
      </c>
      <c r="AC9" s="137">
        <v>64</v>
      </c>
      <c r="AD9" s="137">
        <v>67</v>
      </c>
      <c r="AE9" s="137">
        <v>8</v>
      </c>
      <c r="AF9" s="137">
        <v>3</v>
      </c>
      <c r="AG9" s="137" t="s">
        <v>528</v>
      </c>
      <c r="AH9" s="137" t="s">
        <v>528</v>
      </c>
      <c r="AI9" s="137" t="s">
        <v>529</v>
      </c>
      <c r="AJ9" s="137">
        <v>3</v>
      </c>
      <c r="AK9" s="137" t="s">
        <v>528</v>
      </c>
      <c r="AL9" s="137" t="s">
        <v>529</v>
      </c>
      <c r="AM9" s="137">
        <v>4</v>
      </c>
      <c r="AN9" s="137" t="s">
        <v>528</v>
      </c>
      <c r="AO9" s="137" t="s">
        <v>529</v>
      </c>
      <c r="AP9" s="137">
        <v>7</v>
      </c>
      <c r="AQ9" s="137" t="s">
        <v>528</v>
      </c>
      <c r="AR9" s="137" t="s">
        <v>529</v>
      </c>
      <c r="AS9" s="137">
        <v>10</v>
      </c>
      <c r="AT9" s="137" t="s">
        <v>528</v>
      </c>
      <c r="AU9" s="137" t="s">
        <v>529</v>
      </c>
      <c r="AV9" s="137">
        <v>4</v>
      </c>
      <c r="AW9" s="137" t="s">
        <v>516</v>
      </c>
      <c r="AX9" s="137">
        <v>-62</v>
      </c>
      <c r="AY9" s="137">
        <v>8</v>
      </c>
      <c r="AZ9" s="137" t="s">
        <v>604</v>
      </c>
      <c r="BA9" s="137" t="s">
        <v>520</v>
      </c>
      <c r="BB9" s="137" t="s">
        <v>1014</v>
      </c>
      <c r="BC9" s="137" t="s">
        <v>1015</v>
      </c>
      <c r="BD9" s="137" t="s">
        <v>1016</v>
      </c>
      <c r="BE9" s="137" t="s">
        <v>1014</v>
      </c>
      <c r="BF9" s="137" t="s">
        <v>1015</v>
      </c>
      <c r="BG9" s="137" t="s">
        <v>1016</v>
      </c>
      <c r="BH9" s="137">
        <v>0</v>
      </c>
    </row>
    <row r="10" spans="1:60">
      <c r="A10" s="137"/>
      <c r="B10" s="137"/>
      <c r="C10" s="137"/>
      <c r="D10" s="137">
        <v>5</v>
      </c>
      <c r="E10" s="137">
        <v>5</v>
      </c>
      <c r="F10" s="137">
        <v>4</v>
      </c>
      <c r="G10" s="137" t="s">
        <v>559</v>
      </c>
      <c r="H10" s="137" t="s">
        <v>553</v>
      </c>
      <c r="I10" s="137" t="s">
        <v>518</v>
      </c>
      <c r="J10" s="137" t="s">
        <v>528</v>
      </c>
      <c r="K10" s="137" t="s">
        <v>521</v>
      </c>
      <c r="L10" s="137" t="s">
        <v>604</v>
      </c>
      <c r="M10" s="137" t="s">
        <v>528</v>
      </c>
      <c r="N10" s="137" t="s">
        <v>107</v>
      </c>
      <c r="O10" s="137" t="s">
        <v>109</v>
      </c>
      <c r="P10" s="137" t="s">
        <v>110</v>
      </c>
      <c r="Q10" s="137" t="s">
        <v>111</v>
      </c>
      <c r="R10" s="137">
        <v>5</v>
      </c>
      <c r="S10" s="137" t="s">
        <v>462</v>
      </c>
      <c r="T10" s="137" t="s">
        <v>504</v>
      </c>
      <c r="U10" s="137" t="s">
        <v>517</v>
      </c>
      <c r="V10" s="137" t="s">
        <v>518</v>
      </c>
      <c r="W10" s="137" t="s">
        <v>517</v>
      </c>
      <c r="X10" s="137" t="s">
        <v>527</v>
      </c>
      <c r="Y10" s="137" t="s">
        <v>516</v>
      </c>
      <c r="Z10" s="137" t="s">
        <v>528</v>
      </c>
      <c r="AA10" s="137" t="s">
        <v>1013</v>
      </c>
      <c r="AB10" s="137" t="s">
        <v>553</v>
      </c>
      <c r="AC10" s="137">
        <v>64</v>
      </c>
      <c r="AD10" s="137">
        <v>67</v>
      </c>
      <c r="AE10" s="137">
        <v>8</v>
      </c>
      <c r="AF10" s="137">
        <v>3</v>
      </c>
      <c r="AG10" s="137" t="s">
        <v>528</v>
      </c>
      <c r="AH10" s="137" t="s">
        <v>528</v>
      </c>
      <c r="AI10" s="137" t="s">
        <v>529</v>
      </c>
      <c r="AJ10" s="137">
        <v>3</v>
      </c>
      <c r="AK10" s="137" t="s">
        <v>528</v>
      </c>
      <c r="AL10" s="137" t="s">
        <v>529</v>
      </c>
      <c r="AM10" s="137">
        <v>4</v>
      </c>
      <c r="AN10" s="137" t="s">
        <v>528</v>
      </c>
      <c r="AO10" s="137" t="s">
        <v>529</v>
      </c>
      <c r="AP10" s="137">
        <v>7</v>
      </c>
      <c r="AQ10" s="137" t="s">
        <v>528</v>
      </c>
      <c r="AR10" s="137" t="s">
        <v>529</v>
      </c>
      <c r="AS10" s="137">
        <v>10</v>
      </c>
      <c r="AT10" s="137" t="s">
        <v>528</v>
      </c>
      <c r="AU10" s="137" t="s">
        <v>529</v>
      </c>
      <c r="AV10" s="137">
        <v>4</v>
      </c>
      <c r="AW10" s="137" t="s">
        <v>516</v>
      </c>
      <c r="AX10" s="137">
        <v>-62</v>
      </c>
      <c r="AY10" s="137">
        <v>8</v>
      </c>
      <c r="AZ10" s="137" t="s">
        <v>565</v>
      </c>
      <c r="BA10" s="137" t="s">
        <v>520</v>
      </c>
      <c r="BB10" s="137" t="s">
        <v>1014</v>
      </c>
      <c r="BC10" s="137" t="s">
        <v>1015</v>
      </c>
      <c r="BD10" s="137" t="s">
        <v>1016</v>
      </c>
      <c r="BE10" s="137" t="s">
        <v>1014</v>
      </c>
      <c r="BF10" s="137" t="s">
        <v>1015</v>
      </c>
      <c r="BG10" s="137" t="s">
        <v>1016</v>
      </c>
      <c r="BH10" s="137">
        <v>0</v>
      </c>
    </row>
  </sheetData>
  <phoneticPr fontId="27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5</vt:i4>
      </vt:variant>
    </vt:vector>
  </HeadingPairs>
  <TitlesOfParts>
    <vt:vector size="28" baseType="lpstr">
      <vt:lpstr>表紙</vt:lpstr>
      <vt:lpstr>項目一覧</vt:lpstr>
      <vt:lpstr>テストケース </vt:lpstr>
      <vt:lpstr>テスト仕様</vt:lpstr>
      <vt:lpstr>p1.parameter</vt:lpstr>
      <vt:lpstr>i1.m_store_sale_pur_order_prod</vt:lpstr>
      <vt:lpstr>v1.m_store_sale_pur_order_prod</vt:lpstr>
      <vt:lpstr>i2.m_sale</vt:lpstr>
      <vt:lpstr>i2.m_sale_pur_order_product</vt:lpstr>
      <vt:lpstr>i2.m_item</vt:lpstr>
      <vt:lpstr>i2.m_item_class_rlat</vt:lpstr>
      <vt:lpstr>i2.m_item_class_dev</vt:lpstr>
      <vt:lpstr>i2.m_store_form_item_sell_cond</vt:lpstr>
      <vt:lpstr>i2.m_product</vt:lpstr>
      <vt:lpstr>i2.m_product_generation</vt:lpstr>
      <vt:lpstr>i2.m_supplier</vt:lpstr>
      <vt:lpstr>i2.m_calendar_by_supplier</vt:lpstr>
      <vt:lpstr>i2.m_store</vt:lpstr>
      <vt:lpstr>i2.m_ship_to_generation</vt:lpstr>
      <vt:lpstr>i2.m_regi_data_store</vt:lpstr>
      <vt:lpstr>i2.m_org</vt:lpstr>
      <vt:lpstr>i2.m_store_sale_pur_order_prod</vt:lpstr>
      <vt:lpstr>v2.m_store_sale_pur_order_prod</vt:lpstr>
      <vt:lpstr>項目一覧!Item_Logical_Names</vt:lpstr>
      <vt:lpstr>'テストケース '!Print_Area</vt:lpstr>
      <vt:lpstr>表紙!Print_Area</vt:lpstr>
      <vt:lpstr>テスト仕様!Print_Titles</vt:lpstr>
      <vt:lpstr>項目一覧!Print_Titles</vt:lpstr>
    </vt:vector>
  </TitlesOfParts>
  <Manager>sugimoto</Manager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Sugimoto Hideki(杉本 秀樹)</dc:creator>
  <cp:lastModifiedBy>mbp</cp:lastModifiedBy>
  <cp:lastPrinted>2017-06-06T07:37:56Z</cp:lastPrinted>
  <dcterms:created xsi:type="dcterms:W3CDTF">2006-09-13T11:12:02Z</dcterms:created>
  <dcterms:modified xsi:type="dcterms:W3CDTF">2018-07-13T10:24:27Z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-version">
    <vt:lpwstr>1.1</vt:lpwstr>
  </property>
  <property fmtid="{D5CDD505-2E9C-101B-9397-08002B2CF9AE}" pid="3" name="AddinRelativePath">
    <vt:lpwstr>..\..\..\..\externals\addin</vt:lpwstr>
  </property>
  <property fmtid="{D5CDD505-2E9C-101B-9397-08002B2CF9AE}" pid="4" name="AddinFileName">
    <vt:lpwstr>commandbase.xlam</vt:lpwstr>
  </property>
</Properties>
</file>